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sougatabagchi/Projects/MSIL/work/supporting docs/"/>
    </mc:Choice>
  </mc:AlternateContent>
  <xr:revisionPtr revIDLastSave="0" documentId="8_{835A255D-2838-F34D-85CD-B22AC66D9261}" xr6:coauthVersionLast="47" xr6:coauthVersionMax="47" xr10:uidLastSave="{00000000-0000-0000-0000-000000000000}"/>
  <bookViews>
    <workbookView xWindow="0" yWindow="660" windowWidth="30240" windowHeight="18980" tabRatio="724" firstSheet="4" activeTab="6" xr2:uid="{00000000-000D-0000-FFFF-FFFF00000000}"/>
  </bookViews>
  <sheets>
    <sheet name="Ver History" sheetId="11" r:id="rId1"/>
    <sheet name="Project Level-Milestone" sheetId="8" r:id="rId2"/>
    <sheet name="COE Level" sheetId="4" r:id="rId3"/>
    <sheet name="UserStory-Workitem" sheetId="10" r:id="rId4"/>
    <sheet name="Project Level-Sprint Tracking" sheetId="12" r:id="rId5"/>
    <sheet name="Project Level-Support" sheetId="7" r:id="rId6"/>
    <sheet name="Project Sprint Tracking" sheetId="14" r:id="rId7"/>
    <sheet name="Project Level Support" sheetId="13" r:id="rId8"/>
    <sheet name="Legend" sheetId="2" r:id="rId9"/>
  </sheets>
  <definedNames>
    <definedName name="_xlnm._FilterDatabase" localSheetId="4" hidden="1">'Project Level-Sprint Tracking'!$A$2:$Q$71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2" l="1" a="1"/>
  <c r="A8" i="12" s="1"/>
  <c r="A19" i="7" a="1"/>
  <c r="A19" i="7" s="1"/>
  <c r="W3" i="12" a="1"/>
  <c r="W3" i="12" s="1"/>
  <c r="V3" i="12" a="1"/>
  <c r="V3" i="12" s="1"/>
  <c r="U3" i="12" a="1"/>
  <c r="U3" i="12" s="1"/>
  <c r="T3" i="12"/>
  <c r="S3" i="12"/>
  <c r="R3" i="12"/>
  <c r="AJ4" i="4"/>
  <c r="K2" i="8"/>
  <c r="J2" i="8"/>
  <c r="AM4" i="4" l="1"/>
  <c r="AL4" i="4"/>
  <c r="AK4" i="4"/>
  <c r="AI4" i="4" a="1"/>
  <c r="AI4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<sst xmlns="http://schemas.openxmlformats.org/spreadsheetml/2006/main" count="269" uniqueCount="170">
  <si>
    <t>Demand Note allocation to PM</t>
  </si>
  <si>
    <t>POC/Research Ringi approval</t>
  </si>
  <si>
    <t>Business Case/BRD Signoff/Ringi Approval</t>
  </si>
  <si>
    <t>Vendor Onboarding</t>
  </si>
  <si>
    <t>POC Completion</t>
  </si>
  <si>
    <t>Design/Impact Analysis</t>
  </si>
  <si>
    <t>Infra Provisioning &amp; EA approval</t>
  </si>
  <si>
    <t>Development &amp; Unit testing</t>
  </si>
  <si>
    <t>System Testing</t>
  </si>
  <si>
    <t>UAT</t>
  </si>
  <si>
    <t>VAPT</t>
  </si>
  <si>
    <t>Deloyment</t>
  </si>
  <si>
    <t>Go To Market</t>
  </si>
  <si>
    <t>Pilot &amp; limited release</t>
  </si>
  <si>
    <t>COE</t>
  </si>
  <si>
    <t>Project Name</t>
  </si>
  <si>
    <t>Milestone</t>
  </si>
  <si>
    <t>Planned Start date</t>
  </si>
  <si>
    <t>Planned end date</t>
  </si>
  <si>
    <t>Actual start date</t>
  </si>
  <si>
    <t>Actual End date</t>
  </si>
  <si>
    <t>Planned Effort(Internal)  (in hours)</t>
  </si>
  <si>
    <t>Actual Effort(Internal) (in hours)</t>
  </si>
  <si>
    <t>SV</t>
  </si>
  <si>
    <t>Internal Effort Variance</t>
  </si>
  <si>
    <t>As in when the data comes</t>
  </si>
  <si>
    <t>This will be tracked on KPI dashboard on monthly dashboard</t>
  </si>
  <si>
    <t>Applicable for Development/Maintenance projects</t>
  </si>
  <si>
    <t>Applicable for support projects</t>
  </si>
  <si>
    <t>KPIs</t>
  </si>
  <si>
    <t>Current pysical Year</t>
  </si>
  <si>
    <t>Quarter</t>
  </si>
  <si>
    <t>Month</t>
  </si>
  <si>
    <t>Project ID</t>
  </si>
  <si>
    <t>Project name</t>
  </si>
  <si>
    <t>Domains</t>
  </si>
  <si>
    <t>Practice</t>
  </si>
  <si>
    <t>Planned MSIL Effort (Hours)</t>
  </si>
  <si>
    <t>Actual MSIL Effort(Hours)</t>
  </si>
  <si>
    <t>No. of MSIL resources</t>
  </si>
  <si>
    <t>Vendor involved (Y/N)</t>
  </si>
  <si>
    <t>Vendor Name</t>
  </si>
  <si>
    <t>Vendor Role</t>
  </si>
  <si>
    <t>Planned Project Cost in MRS</t>
  </si>
  <si>
    <t>Actual Project Cost in MRS</t>
  </si>
  <si>
    <t>Vendor Contract Cost in MRS</t>
  </si>
  <si>
    <t>No. of CRs</t>
  </si>
  <si>
    <t>Cost of Change requests</t>
  </si>
  <si>
    <t>Internal Review defects</t>
  </si>
  <si>
    <t>Defects raised by MSIL (Caught by MSIL COE)</t>
  </si>
  <si>
    <t>Defects raised after deployment by user/production</t>
  </si>
  <si>
    <t>Response SLA adherance %age for incidents</t>
  </si>
  <si>
    <t>Resolution SLA adherance %age  for incidents</t>
  </si>
  <si>
    <t>FTP%  for incidents</t>
  </si>
  <si>
    <t>Response SLA adherance %age for SR</t>
  </si>
  <si>
    <t>Resolution SLA adherance %age  for SR</t>
  </si>
  <si>
    <t>FTP%  for SR</t>
  </si>
  <si>
    <t>Total incidents</t>
  </si>
  <si>
    <t>Total SRs</t>
  </si>
  <si>
    <t>On time Delivery</t>
  </si>
  <si>
    <t>Vendor DRE</t>
  </si>
  <si>
    <t>MSIL DRE</t>
  </si>
  <si>
    <t>Cost Variance</t>
  </si>
  <si>
    <t>Sprint</t>
  </si>
  <si>
    <t>User Story</t>
  </si>
  <si>
    <t>Size</t>
  </si>
  <si>
    <t>Actual Start Date</t>
  </si>
  <si>
    <t>Actual End Date</t>
  </si>
  <si>
    <t>Planned Effort</t>
  </si>
  <si>
    <t>Actual Effort</t>
  </si>
  <si>
    <t>Development effort(person Hours)</t>
  </si>
  <si>
    <t>Development Duration(Days)</t>
  </si>
  <si>
    <t>Testing effort(person Hours)</t>
  </si>
  <si>
    <t>Testing Duration(Days)</t>
  </si>
  <si>
    <t>This includes maruti +vendor efforts</t>
  </si>
  <si>
    <t>Metrics</t>
  </si>
  <si>
    <t>Planned Story points</t>
  </si>
  <si>
    <t>Actual delivered Story Point</t>
  </si>
  <si>
    <r>
      <t>Planned Effort ( Hours</t>
    </r>
    <r>
      <rPr>
        <b/>
        <sz val="9"/>
        <color theme="1"/>
        <rFont val="Arial"/>
        <family val="2"/>
      </rPr>
      <t>)</t>
    </r>
  </si>
  <si>
    <t>Actual Effort ( Hours)</t>
  </si>
  <si>
    <t>Sprint Start Date</t>
  </si>
  <si>
    <t>Sprint End Date</t>
  </si>
  <si>
    <t>Design Actual Effort (Hours)</t>
  </si>
  <si>
    <t>Coding Actual Effort (Hours)</t>
  </si>
  <si>
    <t>Code Review and unit testing effort (Hours)</t>
  </si>
  <si>
    <t>Testing Actual Effort (Hours)</t>
  </si>
  <si>
    <t>No. of design review defects</t>
  </si>
  <si>
    <t>No. of Code review defects</t>
  </si>
  <si>
    <t>No. of internal testing defects</t>
  </si>
  <si>
    <t>Customer defects (UAT/ production)</t>
  </si>
  <si>
    <t>Velocity Variance</t>
  </si>
  <si>
    <t>Effort Variance</t>
  </si>
  <si>
    <t>Defect removal effectiveness</t>
  </si>
  <si>
    <t>Productivity</t>
  </si>
  <si>
    <t>Ticket No.</t>
  </si>
  <si>
    <t>Ticket Raiseed By</t>
  </si>
  <si>
    <t>Category ()</t>
  </si>
  <si>
    <t>Ticket Description</t>
  </si>
  <si>
    <t>Ticket Type
(Incident/Service Request)</t>
  </si>
  <si>
    <t>Ticket Assigned To</t>
  </si>
  <si>
    <t xml:space="preserve">Ticket Severity
(S1,S2,S3,) </t>
  </si>
  <si>
    <t>Business Urgency</t>
  </si>
  <si>
    <t xml:space="preserve">Priority (P1,P2,P3) </t>
  </si>
  <si>
    <t>Ticket Resolved by</t>
  </si>
  <si>
    <t>Status</t>
  </si>
  <si>
    <t>Ticket Log Date &amp; Time
(DD-MM-YYYY HH:MM:SS)</t>
  </si>
  <si>
    <t>Response Date &amp; Time
(DD-MM-YYYY HH:MM:SS)</t>
  </si>
  <si>
    <t>Time Taken To Respond The Ticket (HH:MM:SS)</t>
  </si>
  <si>
    <t xml:space="preserve">Target OLA for L1 </t>
  </si>
  <si>
    <t xml:space="preserve">Actual OLA achieved L1 </t>
  </si>
  <si>
    <t>Target OLA for L2 (If applicable)</t>
  </si>
  <si>
    <t>Actual OLA achieved L2 (If applicable)</t>
  </si>
  <si>
    <t>Target OLA for L3(If applicable)</t>
  </si>
  <si>
    <t>Actual OLA achieved L3(If Applicable)</t>
  </si>
  <si>
    <t>Target Response SLA</t>
  </si>
  <si>
    <t>Response SLA Achieved or not</t>
  </si>
  <si>
    <t>Resolution Date &amp; Time
(DD-MM-YYYY HH:MM:SS)</t>
  </si>
  <si>
    <t>Total Time Taken For Resolution (HH:MM:SS)</t>
  </si>
  <si>
    <t>Target Resolution SLA</t>
  </si>
  <si>
    <t>Resolution SLA Achieved or Not</t>
  </si>
  <si>
    <t>Route Cause for SLA Breach</t>
  </si>
  <si>
    <t>Level Of Support - (L1/L2/L3)</t>
  </si>
  <si>
    <t>Ticket Checked Before Delivey
(YES/NO)</t>
  </si>
  <si>
    <t>Ticket Checked Time (DD-MM-YYYY HH:MM:SS)</t>
  </si>
  <si>
    <t>Week</t>
  </si>
  <si>
    <t>Response Time (Min)</t>
  </si>
  <si>
    <t>Resolution Time (Min)</t>
  </si>
  <si>
    <t>KEDB REFFERED
(YES/NO)</t>
  </si>
  <si>
    <t>KEDB UPDATED (YES/NO)</t>
  </si>
  <si>
    <t>KEDB LINK</t>
  </si>
  <si>
    <t>FTP
(Yes / No)</t>
  </si>
  <si>
    <t>Repetative Ticket 
(YES/NO)</t>
  </si>
  <si>
    <t>Reopen Ticket 
(YES/NO)</t>
  </si>
  <si>
    <t>Domain</t>
  </si>
  <si>
    <t>Development</t>
  </si>
  <si>
    <t>Engineering</t>
  </si>
  <si>
    <t>Ringi approval</t>
  </si>
  <si>
    <t>Maintenance</t>
  </si>
  <si>
    <t>Finance</t>
  </si>
  <si>
    <t>POC</t>
  </si>
  <si>
    <t>Impact/Severity</t>
  </si>
  <si>
    <t>Support</t>
  </si>
  <si>
    <t>Marketing &amp; Sales</t>
  </si>
  <si>
    <t>Requirement Analysis</t>
  </si>
  <si>
    <t>High</t>
  </si>
  <si>
    <t>Medium</t>
  </si>
  <si>
    <t>Low</t>
  </si>
  <si>
    <t>HR</t>
  </si>
  <si>
    <t>QA</t>
  </si>
  <si>
    <t>Design</t>
  </si>
  <si>
    <t>SCM</t>
  </si>
  <si>
    <t>Production</t>
  </si>
  <si>
    <t>Service</t>
  </si>
  <si>
    <t>PACCL</t>
  </si>
  <si>
    <t xml:space="preserve">Ver No. </t>
  </si>
  <si>
    <t xml:space="preserve">Description </t>
  </si>
  <si>
    <t>Created / Modified On</t>
  </si>
  <si>
    <t xml:space="preserve">Review By </t>
  </si>
  <si>
    <t xml:space="preserve">Approve By </t>
  </si>
  <si>
    <t>DGV Team</t>
  </si>
  <si>
    <t>DGV dept. Head</t>
  </si>
  <si>
    <t>Nomenclature changes in document as per new organization structure</t>
  </si>
  <si>
    <t>DE-GOV1 Team</t>
  </si>
  <si>
    <t>DE-GOV1 dept. head</t>
  </si>
  <si>
    <t>Base Version of data collection for development</t>
  </si>
  <si>
    <t>Development Productivity</t>
  </si>
  <si>
    <t>Testing Productivity</t>
  </si>
  <si>
    <t>Planned Effort ( Hours)</t>
  </si>
  <si>
    <t>Comments</t>
  </si>
  <si>
    <t>How is managed in JIRA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</si>
</sst>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;[Red]0.0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ptos Display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Avenir Next LT Pro"/>
      <family val="2"/>
    </font>
    <font>
      <sz val="11"/>
      <color theme="1"/>
      <name val="Avenir Next LT Pro"/>
      <family val="2"/>
    </font>
    <font>
      <sz val="10"/>
      <color theme="1"/>
      <name val="Avenir Next LT Pro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9">
    <xf numFmtId="0" fontId="0" fillId="0" borderId="0" xfId="0"/>
    <xf numFmtId="0" fontId="4" fillId="2" borderId="1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5" fillId="6" borderId="1" xfId="0" applyFont="1" applyFill="1" applyBorder="1" applyAlignment="1">
      <alignment vertical="top" wrapText="1"/>
    </xf>
    <xf numFmtId="0" fontId="5" fillId="0" borderId="1" xfId="0" applyFont="1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9" fontId="3" fillId="0" borderId="0" xfId="1" applyFont="1" applyBorder="1" applyAlignment="1">
      <alignment horizontal="left" vertical="top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top"/>
    </xf>
    <xf numFmtId="15" fontId="0" fillId="0" borderId="0" xfId="0" applyNumberFormat="1" applyAlignment="1">
      <alignment horizontal="left" vertical="center" wrapText="1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2" fontId="5" fillId="0" borderId="1" xfId="0" applyNumberFormat="1" applyFont="1" applyBorder="1" applyAlignment="1">
      <alignment horizontal="left" vertical="top"/>
    </xf>
    <xf numFmtId="14" fontId="7" fillId="0" borderId="1" xfId="1" applyNumberFormat="1" applyFont="1" applyBorder="1" applyAlignment="1">
      <alignment horizontal="left" vertical="top"/>
    </xf>
    <xf numFmtId="1" fontId="7" fillId="0" borderId="1" xfId="1" applyNumberFormat="1" applyFont="1" applyFill="1" applyBorder="1" applyAlignment="1">
      <alignment horizontal="left" vertical="top"/>
    </xf>
    <xf numFmtId="9" fontId="5" fillId="0" borderId="1" xfId="1" applyFont="1" applyBorder="1" applyAlignment="1">
      <alignment horizontal="left" vertical="top"/>
    </xf>
    <xf numFmtId="0" fontId="0" fillId="0" borderId="0" xfId="0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 readingOrder="1"/>
    </xf>
    <xf numFmtId="0" fontId="5" fillId="3" borderId="2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0" fillId="0" borderId="1" xfId="0" applyBorder="1"/>
    <xf numFmtId="0" fontId="3" fillId="0" borderId="1" xfId="0" applyFont="1" applyBorder="1"/>
    <xf numFmtId="0" fontId="3" fillId="0" borderId="6" xfId="0" applyFont="1" applyBorder="1"/>
    <xf numFmtId="0" fontId="5" fillId="3" borderId="8" xfId="0" applyFont="1" applyFill="1" applyBorder="1" applyAlignment="1">
      <alignment vertical="top" wrapText="1"/>
    </xf>
    <xf numFmtId="0" fontId="5" fillId="6" borderId="8" xfId="0" applyFont="1" applyFill="1" applyBorder="1" applyAlignment="1">
      <alignment vertical="top" wrapText="1"/>
    </xf>
    <xf numFmtId="0" fontId="5" fillId="0" borderId="8" xfId="0" applyFont="1" applyBorder="1"/>
    <xf numFmtId="0" fontId="0" fillId="0" borderId="8" xfId="0" applyBorder="1"/>
    <xf numFmtId="0" fontId="8" fillId="0" borderId="1" xfId="0" applyFont="1" applyBorder="1" applyAlignment="1">
      <alignment horizontal="center" vertical="center"/>
    </xf>
    <xf numFmtId="0" fontId="9" fillId="0" borderId="0" xfId="0" applyFont="1"/>
    <xf numFmtId="16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/>
    <xf numFmtId="14" fontId="5" fillId="0" borderId="1" xfId="0" applyNumberFormat="1" applyFont="1" applyBorder="1"/>
    <xf numFmtId="0" fontId="6" fillId="2" borderId="1" xfId="0" applyFont="1" applyFill="1" applyBorder="1" applyAlignment="1">
      <alignment horizontal="center" vertical="top"/>
    </xf>
    <xf numFmtId="0" fontId="5" fillId="6" borderId="7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textRotation="45"/>
    </xf>
    <xf numFmtId="0" fontId="0" fillId="7" borderId="0" xfId="0" applyFill="1"/>
    <xf numFmtId="0" fontId="5" fillId="7" borderId="1" xfId="0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left" vertical="top"/>
    </xf>
    <xf numFmtId="0" fontId="1" fillId="0" borderId="0" xfId="0" applyFont="1"/>
    <xf numFmtId="0" fontId="1" fillId="0" borderId="1" xfId="0" applyFont="1" applyBorder="1" applyAlignment="1">
      <alignment horizontal="left" vertical="top"/>
    </xf>
    <xf numFmtId="0" fontId="1" fillId="7" borderId="1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1" fillId="0" borderId="1" xfId="0" applyFont="1" applyBorder="1"/>
    <xf numFmtId="0" fontId="1" fillId="9" borderId="1" xfId="0" applyFont="1" applyFill="1" applyBorder="1"/>
    <xf numFmtId="0" fontId="0" fillId="7" borderId="1" xfId="0" applyFill="1" applyBorder="1"/>
  </cellXfs>
  <cellStyles count="2">
    <cellStyle name="Normal" xfId="0" builtinId="0"/>
    <cellStyle name="Per cent" xfId="1" builtinId="5"/>
  </cellStyles>
  <dxfs count="2">
    <dxf>
      <font>
        <b val="0"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23AEB-779A-4CC0-A205-152360E7A15C}">
  <dimension ref="A1:E5"/>
  <sheetViews>
    <sheetView workbookViewId="0">
      <selection activeCell="B10" sqref="B10"/>
    </sheetView>
  </sheetViews>
  <sheetFormatPr baseColWidth="10" defaultColWidth="8.6640625" defaultRowHeight="14" x14ac:dyDescent="0.2"/>
  <cols>
    <col min="1" max="1" width="14.5" style="38" customWidth="1"/>
    <col min="2" max="2" width="35.1640625" style="38" bestFit="1" customWidth="1"/>
    <col min="3" max="3" width="21" style="38" bestFit="1" customWidth="1"/>
    <col min="4" max="5" width="18.6640625" style="38" bestFit="1" customWidth="1"/>
    <col min="6" max="16384" width="8.6640625" style="38"/>
  </cols>
  <sheetData>
    <row r="1" spans="1:5" x14ac:dyDescent="0.2">
      <c r="A1" s="37" t="s">
        <v>154</v>
      </c>
      <c r="B1" s="37" t="s">
        <v>155</v>
      </c>
      <c r="C1" s="37" t="s">
        <v>156</v>
      </c>
      <c r="D1" s="37" t="s">
        <v>157</v>
      </c>
      <c r="E1" s="37" t="s">
        <v>158</v>
      </c>
    </row>
    <row r="2" spans="1:5" x14ac:dyDescent="0.2">
      <c r="A2" s="39">
        <v>1</v>
      </c>
      <c r="B2" s="40" t="s">
        <v>164</v>
      </c>
      <c r="C2" s="40" t="s">
        <v>159</v>
      </c>
      <c r="D2" s="40" t="s">
        <v>160</v>
      </c>
      <c r="E2" s="40" t="s">
        <v>160</v>
      </c>
    </row>
    <row r="3" spans="1:5" ht="28" x14ac:dyDescent="0.2">
      <c r="A3" s="39">
        <v>1.1000000000000001</v>
      </c>
      <c r="B3" s="41" t="s">
        <v>161</v>
      </c>
      <c r="C3" s="42" t="s">
        <v>162</v>
      </c>
      <c r="D3" s="42" t="s">
        <v>163</v>
      </c>
      <c r="E3" s="42" t="s">
        <v>163</v>
      </c>
    </row>
    <row r="4" spans="1:5" x14ac:dyDescent="0.2">
      <c r="A4" s="39"/>
      <c r="B4" s="43"/>
      <c r="C4" s="43"/>
      <c r="D4" s="43"/>
      <c r="E4" s="43"/>
    </row>
    <row r="5" spans="1:5" x14ac:dyDescent="0.2">
      <c r="A5" s="39"/>
      <c r="B5" s="43"/>
      <c r="C5" s="43"/>
      <c r="D5" s="43"/>
      <c r="E5" s="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254D2-9512-476B-B92D-921533904E62}">
  <dimension ref="A1:K11"/>
  <sheetViews>
    <sheetView topLeftCell="B1" zoomScale="120" workbookViewId="0">
      <selection activeCell="J14" sqref="J14"/>
    </sheetView>
  </sheetViews>
  <sheetFormatPr baseColWidth="10" defaultColWidth="8.83203125" defaultRowHeight="15" x14ac:dyDescent="0.2"/>
  <cols>
    <col min="2" max="2" width="11" bestFit="1" customWidth="1"/>
    <col min="3" max="3" width="36" customWidth="1"/>
    <col min="4" max="4" width="11.83203125" customWidth="1"/>
    <col min="5" max="5" width="11.5" customWidth="1"/>
    <col min="8" max="8" width="16.5" customWidth="1"/>
    <col min="9" max="9" width="17" customWidth="1"/>
  </cols>
  <sheetData>
    <row r="1" spans="1:11" ht="39" x14ac:dyDescent="0.2">
      <c r="A1" s="33" t="s">
        <v>14</v>
      </c>
      <c r="B1" s="33" t="s">
        <v>15</v>
      </c>
      <c r="C1" s="33" t="s">
        <v>16</v>
      </c>
      <c r="D1" s="33" t="s">
        <v>17</v>
      </c>
      <c r="E1" s="33" t="s">
        <v>18</v>
      </c>
      <c r="F1" s="33" t="s">
        <v>19</v>
      </c>
      <c r="G1" s="33" t="s">
        <v>20</v>
      </c>
      <c r="H1" s="33" t="s">
        <v>21</v>
      </c>
      <c r="I1" s="33" t="s">
        <v>22</v>
      </c>
      <c r="J1" s="34" t="s">
        <v>23</v>
      </c>
      <c r="K1" s="33" t="s">
        <v>24</v>
      </c>
    </row>
    <row r="2" spans="1:11" x14ac:dyDescent="0.2">
      <c r="A2" s="35"/>
      <c r="B2" s="35"/>
      <c r="C2" s="35"/>
      <c r="D2" s="35"/>
      <c r="E2" s="35"/>
      <c r="F2" s="35"/>
      <c r="G2" s="35"/>
      <c r="H2" s="35"/>
      <c r="I2" s="35"/>
      <c r="J2" s="35" t="e">
        <f>(G2-E2)/(E2-D2)</f>
        <v>#DIV/0!</v>
      </c>
      <c r="K2" s="36" t="e">
        <f>(I2-H2)/H2</f>
        <v>#DIV/0!</v>
      </c>
    </row>
    <row r="3" spans="1:11" x14ac:dyDescent="0.2">
      <c r="A3" s="35"/>
      <c r="B3" s="35"/>
      <c r="C3" s="35"/>
      <c r="D3" s="35"/>
      <c r="E3" s="35"/>
      <c r="F3" s="35"/>
      <c r="G3" s="35"/>
      <c r="H3" s="35"/>
      <c r="I3" s="35"/>
      <c r="J3" s="35"/>
      <c r="K3" s="36"/>
    </row>
    <row r="4" spans="1:11" x14ac:dyDescent="0.2">
      <c r="A4" s="35"/>
      <c r="B4" s="35"/>
      <c r="C4" s="35"/>
      <c r="D4" s="35"/>
      <c r="E4" s="35"/>
      <c r="F4" s="35"/>
      <c r="G4" s="35"/>
      <c r="H4" s="35"/>
      <c r="I4" s="35"/>
      <c r="J4" s="35"/>
      <c r="K4" s="36"/>
    </row>
    <row r="5" spans="1:11" x14ac:dyDescent="0.2">
      <c r="A5" s="35"/>
      <c r="B5" s="35"/>
      <c r="C5" s="35"/>
      <c r="D5" s="35"/>
      <c r="E5" s="35"/>
      <c r="F5" s="35"/>
      <c r="G5" s="35"/>
      <c r="H5" s="35"/>
      <c r="I5" s="35"/>
      <c r="J5" s="35"/>
      <c r="K5" s="36"/>
    </row>
    <row r="6" spans="1:11" x14ac:dyDescent="0.2">
      <c r="A6" s="35"/>
      <c r="B6" s="35"/>
      <c r="C6" s="35"/>
      <c r="D6" s="36"/>
      <c r="E6" s="36"/>
      <c r="F6" s="36"/>
      <c r="G6" s="36"/>
      <c r="H6" s="36"/>
      <c r="I6" s="36"/>
      <c r="J6" s="36"/>
      <c r="K6" s="36"/>
    </row>
    <row r="7" spans="1:11" x14ac:dyDescent="0.2">
      <c r="A7" s="35"/>
      <c r="B7" s="35"/>
      <c r="C7" s="35"/>
      <c r="D7" s="36"/>
      <c r="E7" s="36"/>
      <c r="F7" s="36"/>
      <c r="G7" s="36"/>
      <c r="H7" s="36"/>
      <c r="I7" s="36"/>
      <c r="J7" s="36"/>
      <c r="K7" s="36"/>
    </row>
    <row r="8" spans="1:11" x14ac:dyDescent="0.2">
      <c r="A8" s="35"/>
      <c r="B8" s="35"/>
      <c r="C8" s="35"/>
      <c r="D8" s="36"/>
      <c r="E8" s="36"/>
      <c r="F8" s="36"/>
      <c r="G8" s="36"/>
      <c r="H8" s="36"/>
      <c r="I8" s="36"/>
      <c r="J8" s="36"/>
      <c r="K8" s="36"/>
    </row>
    <row r="9" spans="1:11" x14ac:dyDescent="0.2">
      <c r="A9" s="35"/>
      <c r="B9" s="35"/>
      <c r="C9" s="35"/>
      <c r="D9" s="36"/>
      <c r="E9" s="36"/>
      <c r="F9" s="36"/>
      <c r="G9" s="36"/>
      <c r="H9" s="36"/>
      <c r="I9" s="36"/>
      <c r="J9" s="36"/>
      <c r="K9" s="36"/>
    </row>
    <row r="10" spans="1:11" x14ac:dyDescent="0.2">
      <c r="A10" s="35"/>
      <c r="B10" s="35"/>
      <c r="C10" s="35"/>
      <c r="D10" s="36"/>
      <c r="E10" s="36"/>
      <c r="F10" s="36"/>
      <c r="G10" s="36"/>
      <c r="H10" s="36"/>
      <c r="I10" s="36"/>
      <c r="J10" s="36"/>
      <c r="K10" s="36"/>
    </row>
    <row r="11" spans="1:11" x14ac:dyDescent="0.2">
      <c r="A11" s="35"/>
      <c r="B11" s="35"/>
      <c r="C11" s="35"/>
      <c r="D11" s="36"/>
      <c r="E11" s="36"/>
      <c r="F11" s="36"/>
      <c r="G11" s="36"/>
      <c r="H11" s="36"/>
      <c r="I11" s="36"/>
      <c r="J11" s="36"/>
      <c r="K11" s="36"/>
    </row>
  </sheetData>
  <pageMargins left="0.7" right="0.7" top="0.75" bottom="0.75" header="0.3" footer="0.3"/>
  <headerFooter>
    <oddHeader>&amp;C&amp;"Calibri"&amp;10&amp;K0000FF Information Classification: Internal&amp;1#_x000D_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142143-C461-4D88-8D3E-A5A480B53E1E}">
          <x14:formula1>
            <xm:f>Legend!$D$2:$D$15</xm:f>
          </x14:formula1>
          <xm:sqref>C2:C11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6015-CB3E-4BBC-8138-C7DE808919CC}">
  <dimension ref="A1:AM32"/>
  <sheetViews>
    <sheetView topLeftCell="V1" workbookViewId="0">
      <selection activeCell="AI4" sqref="AI4"/>
    </sheetView>
  </sheetViews>
  <sheetFormatPr baseColWidth="10" defaultColWidth="8.83203125" defaultRowHeight="15" x14ac:dyDescent="0.2"/>
  <cols>
    <col min="5" max="5" width="7.83203125" customWidth="1"/>
    <col min="6" max="7" width="11.1640625" customWidth="1"/>
    <col min="8" max="8" width="7.1640625" customWidth="1"/>
    <col min="16" max="21" width="12.83203125" customWidth="1"/>
    <col min="26" max="26" width="13" customWidth="1"/>
  </cols>
  <sheetData>
    <row r="1" spans="1:39" x14ac:dyDescent="0.2">
      <c r="V1" s="52" t="s">
        <v>25</v>
      </c>
      <c r="W1" s="53"/>
      <c r="X1" s="53"/>
      <c r="Y1" s="53"/>
      <c r="Z1" s="54"/>
      <c r="AA1" s="55" t="s">
        <v>26</v>
      </c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</row>
    <row r="2" spans="1:39" x14ac:dyDescent="0.2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9" t="s">
        <v>27</v>
      </c>
      <c r="W2" s="49"/>
      <c r="X2" s="49"/>
      <c r="Y2" s="49"/>
      <c r="Z2" s="49"/>
      <c r="AA2" s="50" t="s">
        <v>28</v>
      </c>
      <c r="AB2" s="50"/>
      <c r="AC2" s="50"/>
      <c r="AD2" s="50"/>
      <c r="AE2" s="50"/>
      <c r="AF2" s="50"/>
      <c r="AG2" s="50"/>
      <c r="AH2" s="50"/>
      <c r="AI2" s="51" t="s">
        <v>29</v>
      </c>
      <c r="AJ2" s="51"/>
      <c r="AK2" s="51"/>
      <c r="AL2" s="51"/>
      <c r="AM2" s="51"/>
    </row>
    <row r="3" spans="1:39" s="7" customFormat="1" ht="65" x14ac:dyDescent="0.2">
      <c r="A3" s="5" t="s">
        <v>30</v>
      </c>
      <c r="B3" s="5" t="s">
        <v>31</v>
      </c>
      <c r="C3" s="5" t="s">
        <v>32</v>
      </c>
      <c r="D3" s="5" t="s">
        <v>14</v>
      </c>
      <c r="E3" s="5" t="s">
        <v>33</v>
      </c>
      <c r="F3" s="5" t="s">
        <v>34</v>
      </c>
      <c r="G3" s="5" t="s">
        <v>35</v>
      </c>
      <c r="H3" s="29" t="s">
        <v>36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37</v>
      </c>
      <c r="N3" s="5" t="s">
        <v>38</v>
      </c>
      <c r="O3" s="5" t="s">
        <v>39</v>
      </c>
      <c r="P3" s="5" t="s">
        <v>40</v>
      </c>
      <c r="Q3" s="5" t="s">
        <v>41</v>
      </c>
      <c r="R3" s="5" t="s">
        <v>42</v>
      </c>
      <c r="S3" s="5" t="s">
        <v>43</v>
      </c>
      <c r="T3" s="5" t="s">
        <v>44</v>
      </c>
      <c r="U3" s="5" t="s">
        <v>45</v>
      </c>
      <c r="V3" s="6" t="s">
        <v>46</v>
      </c>
      <c r="W3" s="6" t="s">
        <v>47</v>
      </c>
      <c r="X3" s="6" t="s">
        <v>48</v>
      </c>
      <c r="Y3" s="6" t="s">
        <v>49</v>
      </c>
      <c r="Z3" s="6" t="s">
        <v>50</v>
      </c>
      <c r="AA3" s="29" t="s">
        <v>51</v>
      </c>
      <c r="AB3" s="29" t="s">
        <v>52</v>
      </c>
      <c r="AC3" s="29" t="s">
        <v>53</v>
      </c>
      <c r="AD3" s="29" t="s">
        <v>54</v>
      </c>
      <c r="AE3" s="29" t="s">
        <v>55</v>
      </c>
      <c r="AF3" s="29" t="s">
        <v>56</v>
      </c>
      <c r="AG3" s="29" t="s">
        <v>57</v>
      </c>
      <c r="AH3" s="29" t="s">
        <v>58</v>
      </c>
      <c r="AI3" s="8" t="s">
        <v>23</v>
      </c>
      <c r="AJ3" s="8" t="s">
        <v>59</v>
      </c>
      <c r="AK3" s="8" t="s">
        <v>60</v>
      </c>
      <c r="AL3" s="8" t="s">
        <v>61</v>
      </c>
      <c r="AM3" s="8" t="s">
        <v>62</v>
      </c>
    </row>
    <row r="4" spans="1:39" x14ac:dyDescent="0.2">
      <c r="A4" s="9"/>
      <c r="B4" s="9"/>
      <c r="C4" s="9"/>
      <c r="D4" s="9"/>
      <c r="E4" s="9"/>
      <c r="F4" s="9"/>
      <c r="G4" s="9"/>
      <c r="H4" s="9"/>
      <c r="I4" s="44">
        <v>45391</v>
      </c>
      <c r="J4" s="44">
        <v>45758</v>
      </c>
      <c r="K4" s="9"/>
      <c r="L4" s="44">
        <v>45787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>
        <f t="array" ref="AI4">(L4-J4)/(J4-I4)</f>
        <v>7.901907356948229E-2</v>
      </c>
      <c r="AJ4" s="9" t="str">
        <f>IF(AI4&gt;0,"NO", "YES")</f>
        <v>NO</v>
      </c>
      <c r="AK4" s="9" t="e">
        <f>X4/SUM(X4:Z4)</f>
        <v>#DIV/0!</v>
      </c>
      <c r="AL4" s="9" t="e">
        <f>Y4/SUM(Y4:Z4)</f>
        <v>#DIV/0!</v>
      </c>
      <c r="AM4" s="9" t="e">
        <f>(U4-S4)/S4</f>
        <v>#DIV/0!</v>
      </c>
    </row>
    <row r="5" spans="1:39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spans="1:39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</row>
    <row r="7" spans="1:39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</row>
    <row r="8" spans="1:39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</row>
    <row r="9" spans="1:39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</row>
    <row r="10" spans="1:39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</row>
    <row r="11" spans="1:39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</row>
    <row r="12" spans="1:39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</row>
    <row r="13" spans="1:39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</row>
    <row r="14" spans="1:39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</row>
    <row r="15" spans="1:39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</row>
    <row r="16" spans="1:39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</row>
    <row r="17" spans="1:39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</row>
    <row r="18" spans="1:39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</row>
    <row r="19" spans="1:39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</row>
    <row r="20" spans="1:39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</row>
    <row r="21" spans="1:39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</row>
    <row r="22" spans="1:39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</row>
    <row r="23" spans="1:39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</row>
    <row r="24" spans="1:39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</row>
    <row r="26" spans="1:39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</row>
    <row r="27" spans="1:39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</row>
    <row r="28" spans="1:39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spans="1:39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</row>
    <row r="30" spans="1:39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</row>
    <row r="31" spans="1:39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spans="1:39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</sheetData>
  <mergeCells count="6">
    <mergeCell ref="A2:U2"/>
    <mergeCell ref="V2:Z2"/>
    <mergeCell ref="AA2:AH2"/>
    <mergeCell ref="AI2:AM2"/>
    <mergeCell ref="V1:Z1"/>
    <mergeCell ref="AA1:AM1"/>
  </mergeCells>
  <dataValidations count="1">
    <dataValidation type="list" allowBlank="1" showInputMessage="1" showErrorMessage="1" sqref="P4 U4" xr:uid="{8EDF2A34-8A90-4ADB-A1A6-1AAF5B5117F1}">
      <formula1>"Yes,No"</formula1>
    </dataValidation>
  </dataValidations>
  <pageMargins left="0.7" right="0.7" top="0.75" bottom="0.75" header="0.3" footer="0.3"/>
  <headerFooter>
    <oddHeader>&amp;C&amp;"Calibri"&amp;10&amp;K0000FF Information Classification: Internal&amp;1#_x000D_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705ED49-15B5-4AB7-BC19-835F72E07A52}">
          <x14:formula1>
            <xm:f>Legend!$A$2:$A$17</xm:f>
          </x14:formula1>
          <xm:sqref>D4</xm:sqref>
        </x14:dataValidation>
        <x14:dataValidation type="list" allowBlank="1" showInputMessage="1" showErrorMessage="1" xr:uid="{6868BE77-0927-44A4-8E2A-F91E49F74902}">
          <x14:formula1>
            <xm:f>Legend!$B$2:$B$4</xm:f>
          </x14:formula1>
          <xm:sqref>H4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CB0C9-558B-47C9-ADF1-FF0344CD6A3F}">
  <dimension ref="A1:M4"/>
  <sheetViews>
    <sheetView zoomScale="111" workbookViewId="0">
      <selection activeCell="G7" sqref="G7"/>
    </sheetView>
  </sheetViews>
  <sheetFormatPr baseColWidth="10" defaultColWidth="8.83203125" defaultRowHeight="15" x14ac:dyDescent="0.2"/>
  <cols>
    <col min="6" max="6" width="26.5" customWidth="1"/>
  </cols>
  <sheetData>
    <row r="1" spans="1:13" ht="52" x14ac:dyDescent="0.2">
      <c r="A1" s="5" t="s">
        <v>14</v>
      </c>
      <c r="B1" s="5" t="s">
        <v>15</v>
      </c>
      <c r="C1" s="5" t="s">
        <v>63</v>
      </c>
      <c r="D1" s="27" t="s">
        <v>64</v>
      </c>
      <c r="E1" s="27" t="s">
        <v>65</v>
      </c>
      <c r="F1" s="27" t="s">
        <v>66</v>
      </c>
      <c r="G1" s="27" t="s">
        <v>67</v>
      </c>
      <c r="H1" s="27" t="s">
        <v>68</v>
      </c>
      <c r="I1" s="27" t="s">
        <v>69</v>
      </c>
      <c r="J1" s="27" t="s">
        <v>70</v>
      </c>
      <c r="K1" s="27" t="s">
        <v>71</v>
      </c>
      <c r="L1" s="27" t="s">
        <v>72</v>
      </c>
      <c r="M1" s="27" t="s">
        <v>73</v>
      </c>
    </row>
    <row r="4" spans="1:13" x14ac:dyDescent="0.2">
      <c r="F4" t="s">
        <v>74</v>
      </c>
    </row>
  </sheetData>
  <pageMargins left="0.7" right="0.7" top="0.75" bottom="0.75" header="0.3" footer="0.3"/>
  <headerFooter>
    <oddHeader>&amp;C&amp;"Calibri"&amp;10&amp;K0000FF Information Classification: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C17AF-7596-4AE1-8EAA-DEB322B3A7AE}">
  <dimension ref="A1:AX1753"/>
  <sheetViews>
    <sheetView topLeftCell="A2" zoomScale="118" zoomScaleNormal="99" workbookViewId="0">
      <selection activeCell="A8" sqref="A8:A30"/>
    </sheetView>
  </sheetViews>
  <sheetFormatPr baseColWidth="10" defaultColWidth="8.83203125" defaultRowHeight="15" x14ac:dyDescent="0.2"/>
  <cols>
    <col min="1" max="1" width="13" style="10" customWidth="1"/>
    <col min="2" max="2" width="13.5" style="10" customWidth="1"/>
    <col min="3" max="3" width="9.83203125" style="10" customWidth="1"/>
    <col min="4" max="6" width="14.5" style="10" customWidth="1"/>
    <col min="7" max="7" width="15.83203125" style="10" customWidth="1"/>
    <col min="8" max="8" width="16" style="10" customWidth="1"/>
    <col min="9" max="9" width="15.5" style="10" customWidth="1"/>
    <col min="10" max="13" width="11.1640625" style="10" customWidth="1"/>
    <col min="14" max="16" width="13.5" style="10" customWidth="1"/>
    <col min="17" max="17" width="14" style="10" customWidth="1"/>
    <col min="18" max="18" width="13.5" style="10" customWidth="1"/>
    <col min="19" max="19" width="12.5" style="10" customWidth="1"/>
    <col min="20" max="20" width="14.1640625" style="10" customWidth="1"/>
    <col min="21" max="21" width="8.83203125" style="10"/>
    <col min="22" max="22" width="12.1640625" style="10" customWidth="1"/>
    <col min="23" max="16384" width="8.83203125" style="10"/>
  </cols>
  <sheetData>
    <row r="1" spans="1:50" x14ac:dyDescent="0.15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6" t="s">
        <v>75</v>
      </c>
      <c r="S1" s="47"/>
      <c r="T1" s="47"/>
      <c r="U1" s="47"/>
      <c r="V1" s="47"/>
      <c r="W1" s="47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</row>
    <row r="2" spans="1:50" s="11" customFormat="1" ht="66.75" customHeight="1" x14ac:dyDescent="0.2">
      <c r="A2" s="5" t="s">
        <v>14</v>
      </c>
      <c r="B2" s="5" t="s">
        <v>15</v>
      </c>
      <c r="C2" s="5" t="s">
        <v>63</v>
      </c>
      <c r="D2" s="5" t="s">
        <v>76</v>
      </c>
      <c r="E2" s="5" t="s">
        <v>77</v>
      </c>
      <c r="F2" s="28" t="s">
        <v>78</v>
      </c>
      <c r="G2" s="5" t="s">
        <v>79</v>
      </c>
      <c r="H2" s="5" t="s">
        <v>80</v>
      </c>
      <c r="I2" s="5" t="s">
        <v>81</v>
      </c>
      <c r="J2" s="5" t="s">
        <v>82</v>
      </c>
      <c r="K2" s="5" t="s">
        <v>83</v>
      </c>
      <c r="L2" s="5" t="s">
        <v>84</v>
      </c>
      <c r="M2" s="5" t="s">
        <v>85</v>
      </c>
      <c r="N2" s="5" t="s">
        <v>86</v>
      </c>
      <c r="O2" s="5" t="s">
        <v>87</v>
      </c>
      <c r="P2" s="5" t="s">
        <v>88</v>
      </c>
      <c r="Q2" s="5" t="s">
        <v>89</v>
      </c>
      <c r="R2" s="8" t="s">
        <v>90</v>
      </c>
      <c r="S2" s="8" t="s">
        <v>91</v>
      </c>
      <c r="T2" s="8" t="s">
        <v>92</v>
      </c>
      <c r="U2" s="8" t="s">
        <v>93</v>
      </c>
      <c r="V2" s="8" t="s">
        <v>165</v>
      </c>
      <c r="W2" s="8" t="s">
        <v>166</v>
      </c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</row>
    <row r="3" spans="1:50" x14ac:dyDescent="0.2">
      <c r="A3" s="20"/>
      <c r="B3" s="20"/>
      <c r="C3" s="20"/>
      <c r="D3" s="21"/>
      <c r="E3" s="21"/>
      <c r="F3" s="21"/>
      <c r="G3" s="21"/>
      <c r="H3" s="22"/>
      <c r="I3" s="22"/>
      <c r="J3" s="21"/>
      <c r="K3" s="21"/>
      <c r="L3" s="21"/>
      <c r="M3" s="21"/>
      <c r="N3" s="23"/>
      <c r="O3" s="23"/>
      <c r="P3" s="23"/>
      <c r="Q3" s="23"/>
      <c r="R3" s="24" t="e">
        <f>(E3-D3)/D3</f>
        <v>#DIV/0!</v>
      </c>
      <c r="S3" s="24" t="e">
        <f>(G3-F3)/F3</f>
        <v>#DIV/0!</v>
      </c>
      <c r="T3" s="24" t="e">
        <f>(N3+O3+P3)/SUM(N3:Q3)</f>
        <v>#DIV/0!</v>
      </c>
      <c r="U3" s="20" t="e">
        <f t="array" ref="U3">E3/G3</f>
        <v>#DIV/0!</v>
      </c>
      <c r="V3" s="20" t="e">
        <f t="array" ref="V3">E3/(K3+L3)</f>
        <v>#DIV/0!</v>
      </c>
      <c r="W3" s="20" t="e">
        <f t="array" ref="W3">E3/M3</f>
        <v>#DIV/0!</v>
      </c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</row>
    <row r="4" spans="1:50" x14ac:dyDescent="0.2">
      <c r="A4" s="20"/>
      <c r="B4" s="20"/>
      <c r="C4" s="20"/>
      <c r="D4" s="21"/>
      <c r="E4" s="21"/>
      <c r="F4" s="21"/>
      <c r="G4" s="21"/>
      <c r="H4" s="22"/>
      <c r="I4" s="22"/>
      <c r="J4" s="21"/>
      <c r="K4" s="21"/>
      <c r="L4" s="21"/>
      <c r="M4" s="21"/>
      <c r="N4" s="23"/>
      <c r="O4" s="23"/>
      <c r="P4" s="23"/>
      <c r="Q4" s="23"/>
      <c r="R4" s="20"/>
      <c r="S4" s="20"/>
      <c r="T4" s="20"/>
      <c r="U4" s="20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</row>
    <row r="5" spans="1:50" x14ac:dyDescent="0.2">
      <c r="A5" s="20"/>
      <c r="B5" s="20"/>
      <c r="C5" s="20"/>
      <c r="D5" s="21"/>
      <c r="E5" s="21"/>
      <c r="F5" s="21"/>
      <c r="G5" s="21"/>
      <c r="H5" s="22"/>
      <c r="I5" s="22"/>
      <c r="J5" s="21"/>
      <c r="K5" s="21"/>
      <c r="L5" s="21"/>
      <c r="M5" s="21"/>
      <c r="N5" s="23"/>
      <c r="O5" s="23"/>
      <c r="P5" s="23"/>
      <c r="Q5" s="23"/>
      <c r="R5" s="20"/>
      <c r="S5" s="20"/>
      <c r="T5" s="20"/>
      <c r="U5" s="20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</row>
    <row r="6" spans="1:50" x14ac:dyDescent="0.2">
      <c r="A6" s="20"/>
      <c r="B6" s="20"/>
      <c r="C6" s="20"/>
      <c r="D6" s="21"/>
      <c r="E6" s="21"/>
      <c r="F6" s="21"/>
      <c r="G6" s="21"/>
      <c r="H6" s="22"/>
      <c r="I6" s="22"/>
      <c r="J6" s="21"/>
      <c r="K6" s="21"/>
      <c r="L6" s="21"/>
      <c r="M6" s="21"/>
      <c r="N6" s="23"/>
      <c r="O6" s="23"/>
      <c r="P6" s="23"/>
      <c r="Q6" s="23"/>
      <c r="R6" s="20"/>
      <c r="S6" s="20"/>
      <c r="T6" s="20"/>
      <c r="U6" s="20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</row>
    <row r="7" spans="1:50" x14ac:dyDescent="0.2">
      <c r="A7" s="20"/>
      <c r="B7" s="20"/>
      <c r="C7" s="20"/>
      <c r="D7" s="21"/>
      <c r="E7" s="21"/>
      <c r="F7" s="21"/>
      <c r="G7" s="21"/>
      <c r="H7" s="22"/>
      <c r="I7" s="22"/>
      <c r="J7" s="21"/>
      <c r="K7" s="21"/>
      <c r="L7" s="21"/>
      <c r="M7" s="21"/>
      <c r="N7" s="23"/>
      <c r="O7" s="23"/>
      <c r="P7" s="23"/>
      <c r="Q7" s="23"/>
      <c r="R7" s="20"/>
      <c r="S7" s="20"/>
      <c r="T7" s="20"/>
      <c r="U7" s="20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</row>
    <row r="8" spans="1:50" x14ac:dyDescent="0.2">
      <c r="A8" s="20" t="str" cm="1">
        <f t="array" ref="A8:A30">TRANSPOSE(A2:W2)</f>
        <v>COE</v>
      </c>
      <c r="B8" s="20"/>
      <c r="C8" s="20"/>
      <c r="D8" s="21"/>
      <c r="E8" s="21"/>
      <c r="F8" s="21"/>
      <c r="G8" s="21"/>
      <c r="H8" s="22"/>
      <c r="I8" s="22"/>
      <c r="J8" s="21"/>
      <c r="K8" s="21"/>
      <c r="L8" s="21"/>
      <c r="M8" s="21"/>
      <c r="N8" s="23"/>
      <c r="O8" s="23"/>
      <c r="P8" s="23"/>
      <c r="Q8" s="23"/>
      <c r="R8" s="20"/>
      <c r="S8" s="20"/>
      <c r="T8" s="20"/>
      <c r="U8" s="20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</row>
    <row r="9" spans="1:50" x14ac:dyDescent="0.2">
      <c r="A9" s="20" t="str">
        <v>Project Name</v>
      </c>
      <c r="B9" s="20"/>
      <c r="C9" s="20"/>
      <c r="D9" s="21"/>
      <c r="E9" s="21"/>
      <c r="F9" s="21"/>
      <c r="G9" s="21"/>
      <c r="H9" s="22"/>
      <c r="I9" s="22"/>
      <c r="J9" s="21"/>
      <c r="K9" s="21"/>
      <c r="L9" s="21"/>
      <c r="M9" s="21"/>
      <c r="N9" s="23"/>
      <c r="O9" s="23"/>
      <c r="P9" s="23"/>
      <c r="Q9" s="23"/>
      <c r="R9" s="20"/>
      <c r="S9" s="20"/>
      <c r="T9" s="20"/>
      <c r="U9" s="20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</row>
    <row r="10" spans="1:50" x14ac:dyDescent="0.2">
      <c r="A10" s="20" t="str">
        <v>Sprint</v>
      </c>
      <c r="B10" s="20"/>
      <c r="C10" s="20"/>
      <c r="D10" s="21"/>
      <c r="E10" s="21"/>
      <c r="F10" s="21"/>
      <c r="G10" s="21"/>
      <c r="H10" s="22"/>
      <c r="I10" s="22"/>
      <c r="J10" s="21"/>
      <c r="K10" s="21"/>
      <c r="L10" s="21"/>
      <c r="M10" s="21"/>
      <c r="N10" s="23"/>
      <c r="O10" s="23"/>
      <c r="P10" s="23"/>
      <c r="Q10" s="23"/>
      <c r="R10" s="20"/>
      <c r="S10" s="20"/>
      <c r="T10" s="20"/>
      <c r="U10" s="20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</row>
    <row r="11" spans="1:50" x14ac:dyDescent="0.2">
      <c r="A11" s="20" t="str">
        <v>Planned Story points</v>
      </c>
      <c r="B11" s="20"/>
      <c r="C11" s="20"/>
      <c r="D11" s="21"/>
      <c r="E11" s="21"/>
      <c r="F11" s="21"/>
      <c r="G11" s="21"/>
      <c r="H11" s="22"/>
      <c r="I11" s="22"/>
      <c r="J11" s="21"/>
      <c r="K11" s="21"/>
      <c r="L11" s="21"/>
      <c r="M11" s="21"/>
      <c r="N11" s="23"/>
      <c r="O11" s="23"/>
      <c r="P11" s="23"/>
      <c r="Q11" s="23"/>
      <c r="R11" s="20"/>
      <c r="S11" s="20"/>
      <c r="T11" s="20"/>
      <c r="U11" s="20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</row>
    <row r="12" spans="1:50" x14ac:dyDescent="0.2">
      <c r="A12" s="20" t="str">
        <v>Actual delivered Story Point</v>
      </c>
      <c r="B12" s="20"/>
      <c r="C12" s="20"/>
      <c r="D12" s="21"/>
      <c r="E12" s="21"/>
      <c r="F12" s="21"/>
      <c r="G12" s="21"/>
      <c r="H12" s="22"/>
      <c r="I12" s="22"/>
      <c r="J12" s="21"/>
      <c r="K12" s="21"/>
      <c r="L12" s="21"/>
      <c r="M12" s="21"/>
      <c r="N12" s="23"/>
      <c r="O12" s="23"/>
      <c r="P12" s="23"/>
      <c r="Q12" s="23"/>
      <c r="R12" s="20"/>
      <c r="S12" s="20"/>
      <c r="T12" s="20"/>
      <c r="U12" s="20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</row>
    <row r="13" spans="1:50" x14ac:dyDescent="0.2">
      <c r="A13" s="60" t="str">
        <v>Planned Effort ( Hours)</v>
      </c>
      <c r="B13" s="20"/>
      <c r="C13" s="20"/>
      <c r="D13" s="21"/>
      <c r="E13" s="21"/>
      <c r="F13" s="21"/>
      <c r="G13" s="21"/>
      <c r="H13" s="22"/>
      <c r="I13" s="22"/>
      <c r="J13" s="21"/>
      <c r="K13" s="21"/>
      <c r="L13" s="21"/>
      <c r="M13" s="21"/>
      <c r="N13" s="23"/>
      <c r="O13" s="23"/>
      <c r="P13" s="23"/>
      <c r="Q13" s="23"/>
      <c r="R13" s="20"/>
      <c r="S13" s="20"/>
      <c r="T13" s="20"/>
      <c r="U13" s="20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</row>
    <row r="14" spans="1:50" x14ac:dyDescent="0.2">
      <c r="A14" s="20" t="str">
        <v>Actual Effort ( Hours)</v>
      </c>
      <c r="B14" s="20"/>
      <c r="C14" s="20"/>
      <c r="D14" s="21"/>
      <c r="E14" s="21"/>
      <c r="F14" s="21"/>
      <c r="G14" s="21"/>
      <c r="H14" s="22"/>
      <c r="I14" s="22"/>
      <c r="J14" s="21"/>
      <c r="K14" s="21"/>
      <c r="L14" s="21"/>
      <c r="M14" s="21"/>
      <c r="N14" s="23"/>
      <c r="O14" s="23"/>
      <c r="P14" s="23"/>
      <c r="Q14" s="23"/>
      <c r="R14" s="20"/>
      <c r="S14" s="20"/>
      <c r="T14" s="20"/>
      <c r="U14" s="20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</row>
    <row r="15" spans="1:50" x14ac:dyDescent="0.2">
      <c r="A15" s="20" t="str">
        <v>Sprint Start Date</v>
      </c>
      <c r="B15" s="20"/>
      <c r="C15" s="20"/>
      <c r="D15" s="21"/>
      <c r="E15" s="21"/>
      <c r="F15" s="21"/>
      <c r="G15" s="21"/>
      <c r="H15" s="22"/>
      <c r="I15" s="22"/>
      <c r="J15" s="21"/>
      <c r="K15" s="21"/>
      <c r="L15" s="21"/>
      <c r="M15" s="21"/>
      <c r="N15" s="23"/>
      <c r="O15" s="23"/>
      <c r="P15" s="23"/>
      <c r="Q15" s="23"/>
      <c r="R15" s="20"/>
      <c r="S15" s="20"/>
      <c r="T15" s="20"/>
      <c r="U15" s="20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</row>
    <row r="16" spans="1:50" x14ac:dyDescent="0.2">
      <c r="A16" s="20" t="str">
        <v>Sprint End Date</v>
      </c>
      <c r="B16" s="20"/>
      <c r="C16" s="20"/>
      <c r="D16" s="21"/>
      <c r="E16" s="21"/>
      <c r="F16" s="21"/>
      <c r="G16" s="21"/>
      <c r="H16" s="22"/>
      <c r="I16" s="22"/>
      <c r="J16" s="21"/>
      <c r="K16" s="21"/>
      <c r="L16" s="21"/>
      <c r="M16" s="21"/>
      <c r="N16" s="23"/>
      <c r="O16" s="23"/>
      <c r="P16" s="23"/>
      <c r="Q16" s="23"/>
      <c r="R16" s="20"/>
      <c r="S16" s="20"/>
      <c r="T16" s="20"/>
      <c r="U16" s="20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</row>
    <row r="17" spans="1:50" x14ac:dyDescent="0.2">
      <c r="A17" s="20" t="str">
        <v>Design Actual Effort (Hours)</v>
      </c>
      <c r="B17" s="20"/>
      <c r="C17" s="20"/>
      <c r="D17" s="21"/>
      <c r="E17" s="21"/>
      <c r="F17" s="21"/>
      <c r="G17" s="21"/>
      <c r="H17" s="22"/>
      <c r="I17" s="22"/>
      <c r="J17" s="21"/>
      <c r="K17" s="21"/>
      <c r="L17" s="21"/>
      <c r="M17" s="21"/>
      <c r="N17" s="23"/>
      <c r="O17" s="23"/>
      <c r="P17" s="23"/>
      <c r="Q17" s="23"/>
      <c r="R17" s="20"/>
      <c r="S17" s="20"/>
      <c r="T17" s="20"/>
      <c r="U17" s="20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</row>
    <row r="18" spans="1:50" x14ac:dyDescent="0.2">
      <c r="A18" s="20" t="str">
        <v>Coding Actual Effort (Hours)</v>
      </c>
      <c r="B18" s="20"/>
      <c r="C18" s="20"/>
      <c r="D18" s="21"/>
      <c r="E18" s="21"/>
      <c r="F18" s="21"/>
      <c r="G18" s="21"/>
      <c r="H18" s="22"/>
      <c r="I18" s="22"/>
      <c r="J18" s="21"/>
      <c r="K18" s="21"/>
      <c r="L18" s="21"/>
      <c r="M18" s="21"/>
      <c r="N18" s="23"/>
      <c r="O18" s="23"/>
      <c r="P18" s="23"/>
      <c r="Q18" s="23"/>
      <c r="R18" s="20"/>
      <c r="S18" s="20"/>
      <c r="T18" s="20"/>
      <c r="U18" s="20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</row>
    <row r="19" spans="1:50" x14ac:dyDescent="0.2">
      <c r="A19" s="20" t="str">
        <v>Code Review and unit testing effort (Hours)</v>
      </c>
      <c r="B19" s="20"/>
      <c r="C19" s="20"/>
      <c r="D19" s="21"/>
      <c r="E19" s="21"/>
      <c r="F19" s="21"/>
      <c r="G19" s="21"/>
      <c r="H19" s="22"/>
      <c r="I19" s="22"/>
      <c r="J19" s="21"/>
      <c r="K19" s="21"/>
      <c r="L19" s="21"/>
      <c r="M19" s="21"/>
      <c r="N19" s="23"/>
      <c r="O19" s="23"/>
      <c r="P19" s="23"/>
      <c r="Q19" s="23"/>
      <c r="R19" s="20"/>
      <c r="S19" s="20"/>
      <c r="T19" s="20"/>
      <c r="U19" s="20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</row>
    <row r="20" spans="1:50" x14ac:dyDescent="0.2">
      <c r="A20" s="20" t="str">
        <v>Testing Actual Effort (Hours)</v>
      </c>
      <c r="B20" s="20"/>
      <c r="C20" s="20"/>
      <c r="D20" s="21"/>
      <c r="E20" s="21"/>
      <c r="F20" s="21"/>
      <c r="G20" s="21"/>
      <c r="H20" s="22"/>
      <c r="I20" s="22"/>
      <c r="J20" s="21"/>
      <c r="K20" s="21"/>
      <c r="L20" s="21"/>
      <c r="M20" s="21"/>
      <c r="N20" s="23"/>
      <c r="O20" s="23"/>
      <c r="P20" s="23"/>
      <c r="Q20" s="23"/>
      <c r="R20" s="20"/>
      <c r="S20" s="20"/>
      <c r="T20" s="20"/>
      <c r="U20" s="20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</row>
    <row r="21" spans="1:50" x14ac:dyDescent="0.2">
      <c r="A21" s="20" t="str">
        <v>No. of design review defects</v>
      </c>
      <c r="B21" s="20"/>
      <c r="C21" s="20"/>
      <c r="D21" s="21"/>
      <c r="E21" s="21"/>
      <c r="F21" s="21"/>
      <c r="G21" s="21"/>
      <c r="H21" s="22"/>
      <c r="I21" s="22"/>
      <c r="J21" s="21"/>
      <c r="K21" s="21"/>
      <c r="L21" s="21"/>
      <c r="M21" s="21"/>
      <c r="N21" s="23"/>
      <c r="O21" s="23"/>
      <c r="P21" s="23"/>
      <c r="Q21" s="23"/>
      <c r="R21" s="20"/>
      <c r="S21" s="20"/>
      <c r="T21" s="20"/>
      <c r="U21" s="20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</row>
    <row r="22" spans="1:50" x14ac:dyDescent="0.2">
      <c r="A22" s="20" t="str">
        <v>No. of Code review defects</v>
      </c>
      <c r="B22" s="20"/>
      <c r="C22" s="20"/>
      <c r="D22" s="21"/>
      <c r="E22" s="21"/>
      <c r="F22" s="21"/>
      <c r="G22" s="21"/>
      <c r="H22" s="22"/>
      <c r="I22" s="22"/>
      <c r="J22" s="21"/>
      <c r="K22" s="21"/>
      <c r="L22" s="21"/>
      <c r="M22" s="21"/>
      <c r="N22" s="23"/>
      <c r="O22" s="23"/>
      <c r="P22" s="23"/>
      <c r="Q22" s="23"/>
      <c r="R22" s="20"/>
      <c r="S22" s="20"/>
      <c r="T22" s="20"/>
      <c r="U22" s="20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</row>
    <row r="23" spans="1:50" x14ac:dyDescent="0.2">
      <c r="A23" s="20" t="str">
        <v>No. of internal testing defects</v>
      </c>
      <c r="B23" s="20"/>
      <c r="C23" s="20"/>
      <c r="D23" s="21"/>
      <c r="E23" s="21"/>
      <c r="F23" s="21"/>
      <c r="G23" s="21"/>
      <c r="H23" s="22"/>
      <c r="I23" s="22"/>
      <c r="J23" s="21"/>
      <c r="K23" s="21"/>
      <c r="L23" s="21"/>
      <c r="M23" s="21"/>
      <c r="N23" s="23"/>
      <c r="O23" s="23"/>
      <c r="P23" s="23"/>
      <c r="Q23" s="23"/>
      <c r="R23" s="20"/>
      <c r="S23" s="20"/>
      <c r="T23" s="20"/>
      <c r="U23" s="20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</row>
    <row r="24" spans="1:50" x14ac:dyDescent="0.2">
      <c r="A24" s="20" t="str">
        <v>Customer defects (UAT/ production)</v>
      </c>
      <c r="B24" s="20"/>
      <c r="C24" s="20"/>
      <c r="D24" s="21"/>
      <c r="E24" s="21"/>
      <c r="F24" s="21"/>
      <c r="G24" s="21"/>
      <c r="H24" s="22"/>
      <c r="I24" s="22"/>
      <c r="J24" s="21"/>
      <c r="K24" s="21"/>
      <c r="L24" s="21"/>
      <c r="M24" s="21"/>
      <c r="N24" s="23"/>
      <c r="O24" s="23"/>
      <c r="P24" s="23"/>
      <c r="Q24" s="23"/>
      <c r="R24" s="20"/>
      <c r="S24" s="20"/>
      <c r="T24" s="20"/>
      <c r="U24" s="20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</row>
    <row r="25" spans="1:50" x14ac:dyDescent="0.2">
      <c r="A25" s="61" t="str">
        <v>Velocity Variance</v>
      </c>
      <c r="B25" s="20"/>
      <c r="C25" s="20"/>
      <c r="D25" s="21"/>
      <c r="E25" s="21"/>
      <c r="F25" s="21"/>
      <c r="G25" s="21"/>
      <c r="H25" s="22"/>
      <c r="I25" s="22"/>
      <c r="J25" s="21"/>
      <c r="K25" s="21"/>
      <c r="L25" s="21"/>
      <c r="M25" s="21"/>
      <c r="N25" s="23"/>
      <c r="O25" s="23"/>
      <c r="P25" s="23"/>
      <c r="Q25" s="23"/>
      <c r="R25" s="20"/>
      <c r="S25" s="20"/>
      <c r="T25" s="20"/>
      <c r="U25" s="20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</row>
    <row r="26" spans="1:50" x14ac:dyDescent="0.2">
      <c r="A26" s="61" t="str">
        <v>Effort Variance</v>
      </c>
      <c r="B26" s="20"/>
      <c r="C26" s="20"/>
      <c r="D26" s="21"/>
      <c r="E26" s="21"/>
      <c r="F26" s="21"/>
      <c r="G26" s="21"/>
      <c r="H26" s="22"/>
      <c r="I26" s="22"/>
      <c r="J26" s="21"/>
      <c r="K26" s="21"/>
      <c r="L26" s="21"/>
      <c r="M26" s="21"/>
      <c r="N26" s="23"/>
      <c r="O26" s="23"/>
      <c r="P26" s="23"/>
      <c r="Q26" s="23"/>
      <c r="R26" s="20"/>
      <c r="S26" s="20"/>
      <c r="T26" s="20"/>
      <c r="U26" s="20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</row>
    <row r="27" spans="1:50" x14ac:dyDescent="0.2">
      <c r="A27" s="61" t="str">
        <v>Defect removal effectiveness</v>
      </c>
      <c r="B27" s="20"/>
      <c r="C27" s="20"/>
      <c r="D27" s="21"/>
      <c r="E27" s="21"/>
      <c r="F27" s="21"/>
      <c r="G27" s="21"/>
      <c r="H27" s="22"/>
      <c r="I27" s="22"/>
      <c r="J27" s="21"/>
      <c r="K27" s="21"/>
      <c r="L27" s="21"/>
      <c r="M27" s="21"/>
      <c r="N27" s="23"/>
      <c r="O27" s="23"/>
      <c r="P27" s="23"/>
      <c r="Q27" s="23"/>
      <c r="R27" s="20"/>
      <c r="S27" s="20"/>
      <c r="T27" s="20"/>
      <c r="U27" s="20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</row>
    <row r="28" spans="1:50" x14ac:dyDescent="0.2">
      <c r="A28" s="61" t="str">
        <v>Productivity</v>
      </c>
      <c r="B28" s="20"/>
      <c r="C28" s="20"/>
      <c r="D28" s="21"/>
      <c r="E28" s="21"/>
      <c r="F28" s="21"/>
      <c r="G28" s="21"/>
      <c r="H28" s="22"/>
      <c r="I28" s="22"/>
      <c r="J28" s="21"/>
      <c r="K28" s="21"/>
      <c r="L28" s="21"/>
      <c r="M28" s="21"/>
      <c r="N28" s="23"/>
      <c r="O28" s="23"/>
      <c r="P28" s="23"/>
      <c r="Q28" s="23"/>
      <c r="R28" s="20"/>
      <c r="S28" s="20"/>
      <c r="T28" s="20"/>
      <c r="U28" s="20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</row>
    <row r="29" spans="1:50" x14ac:dyDescent="0.2">
      <c r="A29" s="61" t="str">
        <v>Development Productivity</v>
      </c>
      <c r="B29" s="20"/>
      <c r="C29" s="20"/>
      <c r="D29" s="21"/>
      <c r="E29" s="21"/>
      <c r="F29" s="21"/>
      <c r="G29" s="21"/>
      <c r="H29" s="22"/>
      <c r="I29" s="22"/>
      <c r="J29" s="21"/>
      <c r="K29" s="21"/>
      <c r="L29" s="21"/>
      <c r="M29" s="21"/>
      <c r="N29" s="23"/>
      <c r="O29" s="23"/>
      <c r="P29" s="23"/>
      <c r="Q29" s="23"/>
      <c r="R29" s="20"/>
      <c r="S29" s="20"/>
      <c r="T29" s="20"/>
      <c r="U29" s="20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</row>
    <row r="30" spans="1:50" x14ac:dyDescent="0.2">
      <c r="A30" s="61" t="str">
        <v>Testing Productivity</v>
      </c>
      <c r="B30" s="20"/>
      <c r="C30" s="20"/>
      <c r="D30" s="21"/>
      <c r="E30" s="21"/>
      <c r="F30" s="21"/>
      <c r="G30" s="21"/>
      <c r="H30" s="22"/>
      <c r="I30" s="22"/>
      <c r="J30" s="21"/>
      <c r="K30" s="21"/>
      <c r="L30" s="21"/>
      <c r="M30" s="21"/>
      <c r="N30" s="23"/>
      <c r="O30" s="23"/>
      <c r="P30" s="23"/>
      <c r="Q30" s="23"/>
      <c r="R30" s="20"/>
      <c r="S30" s="20"/>
      <c r="T30" s="20"/>
      <c r="U30" s="20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</row>
    <row r="31" spans="1:50" x14ac:dyDescent="0.2">
      <c r="A31" s="20"/>
      <c r="B31" s="20"/>
      <c r="C31" s="20"/>
      <c r="D31" s="21"/>
      <c r="E31" s="21"/>
      <c r="F31" s="21"/>
      <c r="G31" s="21"/>
      <c r="H31" s="22"/>
      <c r="I31" s="22"/>
      <c r="J31" s="21"/>
      <c r="K31" s="21"/>
      <c r="L31" s="21"/>
      <c r="M31" s="21"/>
      <c r="N31" s="23"/>
      <c r="O31" s="23"/>
      <c r="P31" s="23"/>
      <c r="Q31" s="23"/>
      <c r="R31" s="20"/>
      <c r="S31" s="20"/>
      <c r="T31" s="20"/>
      <c r="U31" s="20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</row>
    <row r="32" spans="1:50" x14ac:dyDescent="0.2">
      <c r="A32" s="20"/>
      <c r="B32" s="20"/>
      <c r="C32" s="20"/>
      <c r="D32" s="21"/>
      <c r="E32" s="21"/>
      <c r="F32" s="21"/>
      <c r="G32" s="21"/>
      <c r="H32" s="22"/>
      <c r="I32" s="22"/>
      <c r="J32" s="21"/>
      <c r="K32" s="21"/>
      <c r="L32" s="21"/>
      <c r="M32" s="21"/>
      <c r="N32" s="23"/>
      <c r="O32" s="23"/>
      <c r="P32" s="23"/>
      <c r="Q32" s="23"/>
      <c r="R32" s="20"/>
      <c r="S32" s="20"/>
      <c r="T32" s="20"/>
      <c r="U32" s="20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</row>
    <row r="33" spans="1:50" x14ac:dyDescent="0.2">
      <c r="A33" s="20"/>
      <c r="B33" s="20"/>
      <c r="C33" s="20"/>
      <c r="D33" s="21"/>
      <c r="E33" s="21"/>
      <c r="F33" s="21"/>
      <c r="G33" s="21"/>
      <c r="H33" s="22"/>
      <c r="I33" s="22"/>
      <c r="J33" s="21"/>
      <c r="K33" s="21"/>
      <c r="L33" s="21"/>
      <c r="M33" s="21"/>
      <c r="N33" s="23"/>
      <c r="O33" s="23"/>
      <c r="P33" s="23"/>
      <c r="Q33" s="23"/>
      <c r="R33" s="20"/>
      <c r="S33" s="20"/>
      <c r="T33" s="20"/>
      <c r="U33" s="20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</row>
    <row r="34" spans="1:50" x14ac:dyDescent="0.2">
      <c r="A34" s="20"/>
      <c r="B34" s="20"/>
      <c r="C34" s="20"/>
      <c r="D34" s="21"/>
      <c r="E34" s="21"/>
      <c r="F34" s="21"/>
      <c r="G34" s="21"/>
      <c r="H34" s="22"/>
      <c r="I34" s="22"/>
      <c r="J34" s="21"/>
      <c r="K34" s="21"/>
      <c r="L34" s="21"/>
      <c r="M34" s="21"/>
      <c r="N34" s="23"/>
      <c r="O34" s="23"/>
      <c r="P34" s="23"/>
      <c r="Q34" s="23"/>
      <c r="R34" s="20"/>
      <c r="S34" s="20"/>
      <c r="T34" s="20"/>
      <c r="U34" s="20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</row>
    <row r="35" spans="1:50" s="12" customFormat="1" x14ac:dyDescent="0.2">
      <c r="A35" s="13"/>
      <c r="B35" s="13"/>
      <c r="C35" s="7"/>
      <c r="D35" s="7"/>
      <c r="E35" s="7"/>
      <c r="F35" s="13"/>
      <c r="G35" s="13"/>
      <c r="H35" s="14"/>
      <c r="I35" s="14"/>
      <c r="J35" s="15"/>
      <c r="K35" s="15"/>
      <c r="L35" s="15"/>
      <c r="M35" s="15"/>
      <c r="N35" s="16"/>
      <c r="O35" s="15"/>
      <c r="P35" s="16"/>
    </row>
    <row r="36" spans="1:50" s="12" customFormat="1" x14ac:dyDescent="0.2">
      <c r="A36" s="13"/>
      <c r="B36" s="13"/>
      <c r="C36" s="7"/>
      <c r="D36" s="7"/>
      <c r="E36" s="7"/>
      <c r="F36" s="13"/>
      <c r="G36" s="13"/>
      <c r="H36" s="14"/>
      <c r="I36" s="14"/>
      <c r="J36" s="15"/>
      <c r="K36" s="15"/>
      <c r="L36" s="15"/>
      <c r="M36" s="15"/>
      <c r="N36" s="16"/>
      <c r="O36" s="15"/>
      <c r="P36" s="16"/>
    </row>
    <row r="37" spans="1:50" s="12" customFormat="1" x14ac:dyDescent="0.2">
      <c r="A37" s="13"/>
      <c r="B37" s="13"/>
      <c r="C37" s="7"/>
      <c r="D37" s="7"/>
      <c r="E37" s="7"/>
      <c r="F37" s="13"/>
      <c r="G37" s="13"/>
      <c r="H37" s="14"/>
      <c r="I37" s="14"/>
      <c r="J37" s="15"/>
      <c r="K37" s="15"/>
      <c r="L37" s="15"/>
      <c r="M37" s="15"/>
      <c r="N37" s="16"/>
      <c r="O37" s="15"/>
      <c r="P37" s="16"/>
    </row>
    <row r="38" spans="1:50" s="12" customFormat="1" x14ac:dyDescent="0.2">
      <c r="A38" s="13"/>
      <c r="B38" s="13"/>
      <c r="C38" s="7"/>
      <c r="D38" s="7"/>
      <c r="E38" s="7"/>
      <c r="F38" s="13"/>
      <c r="G38" s="13"/>
      <c r="H38" s="14"/>
      <c r="I38" s="14"/>
      <c r="J38" s="15"/>
      <c r="K38" s="15"/>
      <c r="L38" s="15"/>
      <c r="M38" s="15"/>
      <c r="N38" s="16"/>
      <c r="O38" s="15"/>
      <c r="P38" s="16"/>
    </row>
    <row r="39" spans="1:50" s="12" customFormat="1" x14ac:dyDescent="0.2">
      <c r="A39" s="13"/>
      <c r="B39" s="13"/>
      <c r="C39" s="7"/>
      <c r="D39" s="7"/>
      <c r="E39" s="7"/>
      <c r="F39" s="13"/>
      <c r="G39" s="13"/>
      <c r="H39" s="14"/>
      <c r="I39" s="14"/>
      <c r="J39" s="15"/>
      <c r="K39" s="15"/>
      <c r="L39" s="15"/>
      <c r="M39" s="15"/>
      <c r="N39" s="16"/>
      <c r="O39" s="15"/>
      <c r="P39" s="16"/>
    </row>
    <row r="40" spans="1:50" s="12" customFormat="1" x14ac:dyDescent="0.2">
      <c r="A40" s="13"/>
      <c r="B40" s="13"/>
      <c r="C40" s="7"/>
      <c r="D40" s="7"/>
      <c r="E40" s="7"/>
      <c r="F40" s="13"/>
      <c r="G40" s="13"/>
      <c r="H40" s="14"/>
      <c r="I40" s="14"/>
      <c r="J40" s="15"/>
      <c r="K40" s="15"/>
      <c r="L40" s="15"/>
      <c r="M40" s="15"/>
      <c r="N40" s="16"/>
      <c r="O40" s="15"/>
      <c r="P40" s="16"/>
    </row>
    <row r="41" spans="1:50" s="12" customFormat="1" x14ac:dyDescent="0.2">
      <c r="A41" s="13"/>
      <c r="B41" s="13"/>
      <c r="C41" s="17"/>
      <c r="D41" s="17"/>
      <c r="E41" s="17"/>
      <c r="F41" s="13"/>
      <c r="G41" s="13"/>
      <c r="H41" s="14"/>
      <c r="I41" s="14"/>
      <c r="J41" s="15"/>
      <c r="K41" s="15"/>
      <c r="L41" s="15"/>
      <c r="M41" s="15"/>
      <c r="N41" s="16"/>
      <c r="O41" s="15"/>
      <c r="P41" s="16"/>
    </row>
    <row r="42" spans="1:50" s="12" customFormat="1" x14ac:dyDescent="0.2">
      <c r="A42" s="13"/>
      <c r="B42" s="13"/>
      <c r="C42" s="17"/>
      <c r="D42" s="17"/>
      <c r="E42" s="17"/>
      <c r="F42" s="13"/>
      <c r="G42" s="13"/>
      <c r="H42" s="14"/>
      <c r="I42" s="14"/>
      <c r="J42" s="15"/>
      <c r="K42" s="15"/>
      <c r="L42" s="15"/>
      <c r="M42" s="15"/>
      <c r="N42" s="16"/>
      <c r="O42" s="15"/>
      <c r="P42" s="13"/>
    </row>
    <row r="43" spans="1:50" s="12" customFormat="1" x14ac:dyDescent="0.2">
      <c r="A43" s="13"/>
      <c r="B43" s="13"/>
      <c r="C43" s="17"/>
      <c r="D43" s="17"/>
      <c r="E43" s="17"/>
      <c r="F43" s="13"/>
      <c r="G43" s="13"/>
      <c r="H43" s="14"/>
      <c r="I43" s="14"/>
      <c r="J43" s="15"/>
      <c r="K43" s="15"/>
      <c r="L43" s="15"/>
      <c r="M43" s="15"/>
      <c r="N43" s="16"/>
      <c r="O43" s="15"/>
      <c r="P43" s="13"/>
    </row>
    <row r="44" spans="1:50" s="12" customFormat="1" x14ac:dyDescent="0.2">
      <c r="A44" s="13"/>
      <c r="B44" s="13"/>
      <c r="C44" s="17"/>
      <c r="D44" s="17"/>
      <c r="E44" s="17"/>
      <c r="F44" s="13"/>
      <c r="G44" s="13"/>
      <c r="H44" s="14"/>
      <c r="I44" s="14"/>
      <c r="J44" s="15"/>
      <c r="K44" s="15"/>
      <c r="L44" s="15"/>
      <c r="M44" s="15"/>
      <c r="N44" s="16"/>
      <c r="O44" s="15"/>
      <c r="P44" s="13"/>
    </row>
    <row r="45" spans="1:50" s="12" customFormat="1" x14ac:dyDescent="0.2">
      <c r="A45" s="13"/>
      <c r="B45" s="13"/>
      <c r="C45" s="17"/>
      <c r="D45" s="17"/>
      <c r="E45" s="17"/>
      <c r="F45" s="13"/>
      <c r="G45" s="13"/>
      <c r="H45" s="14"/>
      <c r="I45" s="14"/>
      <c r="J45" s="15"/>
      <c r="K45" s="15"/>
      <c r="L45" s="15"/>
      <c r="M45" s="15"/>
      <c r="N45" s="16"/>
      <c r="O45" s="15"/>
      <c r="P45" s="13"/>
    </row>
    <row r="46" spans="1:50" s="12" customFormat="1" x14ac:dyDescent="0.2">
      <c r="A46" s="13"/>
      <c r="B46" s="13"/>
      <c r="C46" s="17"/>
      <c r="D46" s="17"/>
      <c r="E46" s="17"/>
      <c r="F46" s="13"/>
      <c r="G46" s="13"/>
      <c r="H46" s="14"/>
      <c r="I46" s="14"/>
      <c r="J46" s="15"/>
      <c r="K46" s="15"/>
      <c r="L46" s="15"/>
      <c r="M46" s="15"/>
      <c r="N46" s="16"/>
      <c r="O46" s="15"/>
      <c r="P46" s="13"/>
    </row>
    <row r="47" spans="1:50" s="12" customFormat="1" x14ac:dyDescent="0.2">
      <c r="A47" s="13"/>
      <c r="B47" s="13"/>
      <c r="C47" s="17"/>
      <c r="D47" s="17"/>
      <c r="E47" s="17"/>
      <c r="F47" s="13"/>
      <c r="G47" s="13"/>
      <c r="H47" s="14"/>
      <c r="I47" s="14"/>
      <c r="J47" s="15"/>
      <c r="K47" s="15"/>
      <c r="L47" s="15"/>
      <c r="M47" s="15"/>
      <c r="N47" s="16"/>
      <c r="O47" s="15"/>
      <c r="P47" s="13"/>
    </row>
    <row r="48" spans="1:50" s="12" customFormat="1" x14ac:dyDescent="0.2">
      <c r="A48" s="13"/>
      <c r="B48" s="13"/>
      <c r="C48" s="17"/>
      <c r="D48" s="17"/>
      <c r="E48" s="17"/>
      <c r="F48" s="13"/>
      <c r="G48" s="13"/>
      <c r="H48" s="14"/>
      <c r="I48" s="14"/>
      <c r="J48" s="15"/>
      <c r="K48" s="15"/>
      <c r="L48" s="15"/>
      <c r="M48" s="15"/>
      <c r="N48" s="16"/>
      <c r="O48" s="15"/>
      <c r="P48" s="13"/>
    </row>
    <row r="49" spans="1:16" s="12" customFormat="1" x14ac:dyDescent="0.2">
      <c r="A49" s="13"/>
      <c r="B49" s="13"/>
      <c r="C49" s="17"/>
      <c r="D49" s="17"/>
      <c r="E49" s="17"/>
      <c r="F49" s="13"/>
      <c r="G49" s="13"/>
      <c r="H49" s="14"/>
      <c r="I49" s="14"/>
      <c r="J49" s="15"/>
      <c r="K49" s="15"/>
      <c r="L49" s="15"/>
      <c r="M49" s="15"/>
      <c r="N49" s="16"/>
      <c r="O49" s="15"/>
      <c r="P49" s="13"/>
    </row>
    <row r="50" spans="1:16" s="12" customFormat="1" x14ac:dyDescent="0.2">
      <c r="A50" s="13"/>
      <c r="B50" s="13"/>
      <c r="C50" s="17"/>
      <c r="D50" s="17"/>
      <c r="E50" s="17"/>
      <c r="F50" s="13"/>
      <c r="G50" s="13"/>
      <c r="H50" s="14"/>
      <c r="I50" s="14"/>
      <c r="J50" s="15"/>
      <c r="K50" s="15"/>
      <c r="L50" s="15"/>
      <c r="M50" s="15"/>
      <c r="N50" s="16"/>
      <c r="O50" s="15"/>
      <c r="P50" s="13"/>
    </row>
    <row r="51" spans="1:16" s="12" customFormat="1" x14ac:dyDescent="0.2">
      <c r="A51" s="13"/>
      <c r="B51" s="13"/>
      <c r="C51" s="17"/>
      <c r="D51" s="17"/>
      <c r="E51" s="17"/>
      <c r="F51" s="13"/>
      <c r="G51" s="13"/>
      <c r="H51" s="14"/>
      <c r="I51" s="14"/>
      <c r="J51" s="15"/>
      <c r="K51" s="15"/>
      <c r="L51" s="15"/>
      <c r="M51" s="15"/>
      <c r="N51" s="16"/>
      <c r="O51" s="15"/>
      <c r="P51" s="13"/>
    </row>
    <row r="52" spans="1:16" s="12" customFormat="1" x14ac:dyDescent="0.2">
      <c r="A52" s="13"/>
      <c r="B52" s="13"/>
      <c r="C52" s="17"/>
      <c r="D52" s="17"/>
      <c r="E52" s="17"/>
      <c r="F52" s="13"/>
      <c r="G52" s="13"/>
      <c r="H52" s="14"/>
      <c r="I52" s="14"/>
      <c r="J52" s="15"/>
      <c r="K52" s="15"/>
      <c r="L52" s="15"/>
      <c r="M52" s="15"/>
      <c r="N52" s="16"/>
      <c r="O52" s="15"/>
      <c r="P52" s="13"/>
    </row>
    <row r="53" spans="1:16" s="12" customFormat="1" x14ac:dyDescent="0.2">
      <c r="A53" s="13"/>
      <c r="B53" s="13"/>
      <c r="C53" s="17"/>
      <c r="D53" s="17"/>
      <c r="E53" s="17"/>
      <c r="F53" s="13"/>
      <c r="G53" s="13"/>
      <c r="H53" s="14"/>
      <c r="I53" s="14"/>
      <c r="J53" s="15"/>
      <c r="K53" s="15"/>
      <c r="L53" s="15"/>
      <c r="M53" s="15"/>
      <c r="N53" s="16"/>
      <c r="O53" s="15"/>
      <c r="P53" s="13"/>
    </row>
    <row r="54" spans="1:16" s="12" customFormat="1" x14ac:dyDescent="0.2">
      <c r="A54" s="13"/>
      <c r="B54" s="13"/>
      <c r="C54" s="17"/>
      <c r="D54" s="17"/>
      <c r="E54" s="17"/>
      <c r="F54" s="13"/>
      <c r="G54" s="13"/>
      <c r="H54" s="14"/>
      <c r="I54" s="14"/>
      <c r="J54" s="15"/>
      <c r="K54" s="15"/>
      <c r="L54" s="15"/>
      <c r="M54" s="15"/>
      <c r="N54" s="16"/>
      <c r="O54" s="15"/>
      <c r="P54" s="13"/>
    </row>
    <row r="55" spans="1:16" s="12" customFormat="1" x14ac:dyDescent="0.2">
      <c r="A55" s="13"/>
      <c r="B55" s="13"/>
      <c r="C55" s="17"/>
      <c r="D55" s="17"/>
      <c r="E55" s="17"/>
      <c r="F55" s="13"/>
      <c r="G55" s="13"/>
      <c r="H55" s="14"/>
      <c r="I55" s="14"/>
      <c r="J55" s="15"/>
      <c r="K55" s="15"/>
      <c r="L55" s="15"/>
      <c r="M55" s="15"/>
      <c r="N55" s="16"/>
      <c r="O55" s="15"/>
      <c r="P55" s="13"/>
    </row>
    <row r="56" spans="1:16" s="12" customFormat="1" x14ac:dyDescent="0.2">
      <c r="A56" s="13"/>
      <c r="B56" s="13"/>
      <c r="C56" s="17"/>
      <c r="D56" s="17"/>
      <c r="E56" s="17"/>
      <c r="F56" s="13"/>
      <c r="G56" s="13"/>
      <c r="H56" s="14"/>
      <c r="I56" s="14"/>
      <c r="J56" s="15"/>
      <c r="K56" s="15"/>
      <c r="L56" s="15"/>
      <c r="M56" s="15"/>
      <c r="N56" s="16"/>
      <c r="O56" s="15"/>
      <c r="P56" s="13"/>
    </row>
    <row r="57" spans="1:16" s="12" customFormat="1" x14ac:dyDescent="0.2">
      <c r="A57" s="13"/>
      <c r="B57" s="13"/>
      <c r="C57" s="17"/>
      <c r="D57" s="17"/>
      <c r="E57" s="17"/>
      <c r="F57" s="13"/>
      <c r="G57" s="13"/>
      <c r="H57" s="14"/>
      <c r="I57" s="14"/>
      <c r="J57" s="15"/>
      <c r="K57" s="15"/>
      <c r="L57" s="15"/>
      <c r="M57" s="15"/>
      <c r="N57" s="16"/>
      <c r="O57" s="15"/>
      <c r="P57" s="13"/>
    </row>
    <row r="58" spans="1:16" s="12" customFormat="1" x14ac:dyDescent="0.2">
      <c r="A58" s="13"/>
      <c r="B58" s="13"/>
      <c r="C58" s="17"/>
      <c r="D58" s="17"/>
      <c r="E58" s="17"/>
      <c r="F58" s="13"/>
      <c r="G58" s="13"/>
      <c r="H58" s="14"/>
      <c r="I58" s="14"/>
      <c r="J58" s="15"/>
      <c r="K58" s="15"/>
      <c r="L58" s="15"/>
      <c r="M58" s="15"/>
      <c r="N58" s="16"/>
      <c r="O58" s="15"/>
      <c r="P58" s="13"/>
    </row>
    <row r="59" spans="1:16" s="12" customFormat="1" x14ac:dyDescent="0.2">
      <c r="A59" s="13"/>
      <c r="B59" s="13"/>
      <c r="C59" s="17"/>
      <c r="D59" s="17"/>
      <c r="E59" s="17"/>
      <c r="F59" s="13"/>
      <c r="G59" s="13"/>
      <c r="H59" s="14"/>
      <c r="I59" s="14"/>
      <c r="J59" s="15"/>
      <c r="K59" s="15"/>
      <c r="L59" s="15"/>
      <c r="M59" s="15"/>
      <c r="N59" s="16"/>
      <c r="O59" s="15"/>
      <c r="P59" s="13"/>
    </row>
    <row r="60" spans="1:16" s="12" customFormat="1" x14ac:dyDescent="0.2">
      <c r="A60" s="3"/>
      <c r="B60" s="3"/>
      <c r="C60" s="4"/>
      <c r="D60" s="4"/>
      <c r="E60" s="4"/>
      <c r="F60" s="3"/>
      <c r="G60" s="3"/>
      <c r="H60" s="14"/>
      <c r="I60" s="14"/>
      <c r="J60" s="18"/>
      <c r="K60" s="18"/>
      <c r="L60" s="18"/>
      <c r="M60" s="18"/>
      <c r="N60" s="18"/>
      <c r="O60" s="18"/>
      <c r="P60" s="18"/>
    </row>
    <row r="61" spans="1:16" s="12" customFormat="1" x14ac:dyDescent="0.2">
      <c r="A61" s="3"/>
      <c r="B61" s="3"/>
      <c r="C61" s="4"/>
      <c r="D61" s="4"/>
      <c r="E61" s="4"/>
      <c r="F61" s="3"/>
      <c r="G61" s="3"/>
      <c r="H61" s="14"/>
      <c r="I61" s="14"/>
      <c r="J61" s="18"/>
      <c r="K61" s="18"/>
      <c r="L61" s="18"/>
      <c r="M61" s="18"/>
      <c r="N61" s="18"/>
      <c r="O61" s="18"/>
      <c r="P61" s="18"/>
    </row>
    <row r="62" spans="1:16" s="12" customFormat="1" x14ac:dyDescent="0.2">
      <c r="A62" s="3"/>
      <c r="B62" s="3"/>
      <c r="C62" s="4"/>
      <c r="D62" s="4"/>
      <c r="E62" s="4"/>
      <c r="F62" s="3"/>
      <c r="G62" s="3"/>
      <c r="H62" s="14"/>
      <c r="I62" s="14"/>
      <c r="J62" s="18"/>
      <c r="K62" s="18"/>
      <c r="L62" s="18"/>
      <c r="M62" s="18"/>
      <c r="N62" s="18"/>
      <c r="O62" s="18"/>
      <c r="P62" s="18"/>
    </row>
    <row r="63" spans="1:16" s="12" customFormat="1" x14ac:dyDescent="0.2">
      <c r="A63" s="3"/>
      <c r="B63" s="3"/>
      <c r="C63" s="4"/>
      <c r="D63" s="4"/>
      <c r="E63" s="4"/>
      <c r="F63" s="3"/>
      <c r="G63" s="3"/>
      <c r="H63" s="14"/>
      <c r="I63" s="14"/>
      <c r="J63" s="18"/>
      <c r="K63" s="18"/>
      <c r="L63" s="18"/>
      <c r="M63" s="18"/>
      <c r="N63" s="18"/>
      <c r="O63" s="18"/>
      <c r="P63" s="18"/>
    </row>
    <row r="64" spans="1:16" s="12" customFormat="1" x14ac:dyDescent="0.2">
      <c r="A64" s="3"/>
      <c r="B64" s="3"/>
      <c r="C64" s="4"/>
      <c r="D64" s="4"/>
      <c r="E64" s="4"/>
      <c r="F64" s="3"/>
      <c r="G64" s="3"/>
      <c r="H64" s="14"/>
      <c r="I64" s="14"/>
      <c r="J64" s="18"/>
      <c r="K64" s="18"/>
      <c r="L64" s="18"/>
      <c r="M64" s="18"/>
      <c r="N64" s="18"/>
      <c r="O64" s="18"/>
      <c r="P64" s="18"/>
    </row>
    <row r="65" spans="1:16" s="12" customFormat="1" x14ac:dyDescent="0.2">
      <c r="A65" s="3"/>
      <c r="B65" s="3"/>
      <c r="C65" s="4"/>
      <c r="D65" s="4"/>
      <c r="E65" s="4"/>
      <c r="F65" s="3"/>
      <c r="G65" s="3"/>
      <c r="H65" s="14"/>
      <c r="I65" s="14"/>
      <c r="J65" s="18"/>
      <c r="K65" s="18"/>
      <c r="L65" s="18"/>
      <c r="M65" s="18"/>
      <c r="N65" s="18"/>
      <c r="O65" s="18"/>
      <c r="P65" s="18"/>
    </row>
    <row r="66" spans="1:16" s="12" customFormat="1" x14ac:dyDescent="0.2">
      <c r="A66" s="3"/>
      <c r="B66" s="3"/>
      <c r="C66" s="4"/>
      <c r="D66" s="4"/>
      <c r="E66" s="4"/>
      <c r="F66" s="3"/>
      <c r="G66" s="3"/>
      <c r="H66" s="14"/>
      <c r="I66" s="14"/>
      <c r="J66" s="18"/>
      <c r="K66" s="18"/>
      <c r="L66" s="18"/>
      <c r="M66" s="18"/>
      <c r="N66" s="18"/>
      <c r="O66" s="18"/>
      <c r="P66" s="18"/>
    </row>
    <row r="67" spans="1:16" s="12" customFormat="1" x14ac:dyDescent="0.2">
      <c r="A67" s="3"/>
      <c r="B67" s="3"/>
      <c r="C67" s="4"/>
      <c r="D67" s="4"/>
      <c r="E67" s="4"/>
      <c r="F67" s="3"/>
      <c r="G67" s="3"/>
      <c r="H67" s="14"/>
      <c r="I67" s="14"/>
      <c r="J67" s="18"/>
      <c r="K67" s="18"/>
      <c r="L67" s="18"/>
      <c r="M67" s="18"/>
      <c r="N67" s="18"/>
      <c r="O67" s="18"/>
      <c r="P67" s="18"/>
    </row>
    <row r="68" spans="1:16" s="12" customFormat="1" x14ac:dyDescent="0.2">
      <c r="A68" s="3"/>
      <c r="B68" s="3"/>
      <c r="C68" s="4"/>
      <c r="D68" s="4"/>
      <c r="E68" s="4"/>
      <c r="F68" s="3"/>
      <c r="G68" s="3"/>
      <c r="H68" s="14"/>
      <c r="I68" s="14"/>
      <c r="J68" s="18"/>
      <c r="K68" s="18"/>
      <c r="L68" s="18"/>
      <c r="M68" s="18"/>
      <c r="N68" s="18"/>
      <c r="O68" s="18"/>
      <c r="P68" s="18"/>
    </row>
    <row r="69" spans="1:16" s="12" customFormat="1" x14ac:dyDescent="0.2">
      <c r="A69" s="3"/>
      <c r="B69" s="3"/>
      <c r="C69" s="4"/>
      <c r="D69" s="4"/>
      <c r="E69" s="4"/>
      <c r="F69" s="3"/>
      <c r="G69" s="3"/>
      <c r="H69" s="14"/>
      <c r="I69" s="14"/>
      <c r="J69" s="18"/>
      <c r="K69" s="18"/>
      <c r="L69" s="18"/>
      <c r="M69" s="18"/>
      <c r="N69" s="18"/>
      <c r="O69" s="18"/>
      <c r="P69" s="18"/>
    </row>
    <row r="70" spans="1:16" s="12" customFormat="1" x14ac:dyDescent="0.2">
      <c r="A70" s="3"/>
      <c r="B70" s="3"/>
      <c r="C70" s="4"/>
      <c r="D70" s="4"/>
      <c r="E70" s="4"/>
      <c r="F70" s="3"/>
      <c r="G70" s="3"/>
      <c r="H70" s="14"/>
      <c r="I70" s="14"/>
      <c r="J70" s="18"/>
      <c r="K70" s="18"/>
      <c r="L70" s="18"/>
      <c r="M70" s="18"/>
      <c r="N70" s="18"/>
      <c r="O70" s="18"/>
      <c r="P70" s="18"/>
    </row>
    <row r="71" spans="1:16" s="12" customFormat="1" x14ac:dyDescent="0.2">
      <c r="A71" s="3"/>
      <c r="B71" s="3"/>
      <c r="C71" s="4"/>
      <c r="D71" s="4"/>
      <c r="E71" s="4"/>
      <c r="F71" s="3"/>
      <c r="G71" s="3"/>
      <c r="H71" s="14"/>
      <c r="I71" s="14"/>
      <c r="J71" s="18"/>
      <c r="K71" s="18"/>
      <c r="L71" s="18"/>
      <c r="M71" s="18"/>
      <c r="N71" s="18"/>
      <c r="O71" s="18"/>
      <c r="P71" s="18"/>
    </row>
    <row r="72" spans="1:16" s="12" customFormat="1" x14ac:dyDescent="0.2"/>
    <row r="73" spans="1:16" s="12" customFormat="1" x14ac:dyDescent="0.2"/>
    <row r="74" spans="1:16" s="12" customFormat="1" x14ac:dyDescent="0.2"/>
    <row r="75" spans="1:16" s="12" customFormat="1" x14ac:dyDescent="0.2"/>
    <row r="76" spans="1:16" s="12" customFormat="1" x14ac:dyDescent="0.2"/>
    <row r="77" spans="1:16" s="12" customFormat="1" x14ac:dyDescent="0.2"/>
    <row r="78" spans="1:16" s="12" customFormat="1" x14ac:dyDescent="0.2"/>
    <row r="79" spans="1:16" s="12" customFormat="1" x14ac:dyDescent="0.2"/>
    <row r="80" spans="1:16" s="12" customFormat="1" x14ac:dyDescent="0.2"/>
    <row r="81" s="12" customFormat="1" x14ac:dyDescent="0.2"/>
    <row r="82" s="12" customFormat="1" x14ac:dyDescent="0.2"/>
    <row r="83" s="12" customFormat="1" x14ac:dyDescent="0.2"/>
    <row r="84" s="12" customFormat="1" x14ac:dyDescent="0.2"/>
    <row r="85" s="12" customFormat="1" x14ac:dyDescent="0.2"/>
    <row r="86" s="12" customFormat="1" x14ac:dyDescent="0.2"/>
    <row r="87" s="12" customFormat="1" x14ac:dyDescent="0.2"/>
    <row r="88" s="12" customFormat="1" x14ac:dyDescent="0.2"/>
    <row r="89" s="12" customFormat="1" x14ac:dyDescent="0.2"/>
    <row r="90" s="12" customFormat="1" x14ac:dyDescent="0.2"/>
    <row r="91" s="12" customFormat="1" x14ac:dyDescent="0.2"/>
    <row r="92" s="12" customFormat="1" x14ac:dyDescent="0.2"/>
    <row r="93" s="12" customFormat="1" x14ac:dyDescent="0.2"/>
    <row r="94" s="12" customFormat="1" x14ac:dyDescent="0.2"/>
    <row r="95" s="12" customFormat="1" x14ac:dyDescent="0.2"/>
    <row r="96" s="12" customFormat="1" x14ac:dyDescent="0.2"/>
    <row r="97" s="12" customFormat="1" x14ac:dyDescent="0.2"/>
    <row r="98" s="12" customFormat="1" x14ac:dyDescent="0.2"/>
    <row r="99" s="12" customFormat="1" x14ac:dyDescent="0.2"/>
    <row r="100" s="12" customFormat="1" x14ac:dyDescent="0.2"/>
    <row r="101" s="12" customFormat="1" x14ac:dyDescent="0.2"/>
    <row r="102" s="12" customFormat="1" x14ac:dyDescent="0.2"/>
    <row r="103" s="12" customFormat="1" x14ac:dyDescent="0.2"/>
    <row r="104" s="12" customFormat="1" x14ac:dyDescent="0.2"/>
    <row r="105" s="12" customFormat="1" x14ac:dyDescent="0.2"/>
    <row r="106" s="12" customFormat="1" x14ac:dyDescent="0.2"/>
    <row r="107" s="12" customFormat="1" x14ac:dyDescent="0.2"/>
    <row r="108" s="12" customFormat="1" x14ac:dyDescent="0.2"/>
    <row r="109" s="12" customFormat="1" x14ac:dyDescent="0.2"/>
    <row r="110" s="12" customFormat="1" x14ac:dyDescent="0.2"/>
    <row r="111" s="12" customFormat="1" x14ac:dyDescent="0.2"/>
    <row r="112" s="12" customFormat="1" x14ac:dyDescent="0.2"/>
    <row r="113" s="12" customFormat="1" x14ac:dyDescent="0.2"/>
    <row r="114" s="12" customFormat="1" x14ac:dyDescent="0.2"/>
    <row r="115" s="12" customFormat="1" x14ac:dyDescent="0.2"/>
    <row r="116" s="12" customFormat="1" x14ac:dyDescent="0.2"/>
    <row r="117" s="12" customFormat="1" x14ac:dyDescent="0.2"/>
    <row r="118" s="12" customFormat="1" x14ac:dyDescent="0.2"/>
    <row r="119" s="12" customFormat="1" x14ac:dyDescent="0.2"/>
    <row r="120" s="12" customFormat="1" x14ac:dyDescent="0.2"/>
    <row r="121" s="12" customFormat="1" x14ac:dyDescent="0.2"/>
    <row r="122" s="12" customFormat="1" x14ac:dyDescent="0.2"/>
    <row r="123" s="12" customFormat="1" x14ac:dyDescent="0.2"/>
    <row r="124" s="12" customFormat="1" x14ac:dyDescent="0.2"/>
    <row r="125" s="12" customFormat="1" x14ac:dyDescent="0.2"/>
    <row r="126" s="12" customFormat="1" x14ac:dyDescent="0.2"/>
    <row r="127" s="12" customFormat="1" x14ac:dyDescent="0.2"/>
    <row r="128" s="12" customFormat="1" x14ac:dyDescent="0.2"/>
    <row r="129" s="12" customFormat="1" x14ac:dyDescent="0.2"/>
    <row r="130" s="12" customFormat="1" x14ac:dyDescent="0.2"/>
    <row r="131" s="12" customFormat="1" x14ac:dyDescent="0.2"/>
    <row r="132" s="12" customFormat="1" x14ac:dyDescent="0.2"/>
    <row r="133" s="12" customFormat="1" x14ac:dyDescent="0.2"/>
    <row r="134" s="12" customFormat="1" x14ac:dyDescent="0.2"/>
    <row r="135" s="12" customFormat="1" x14ac:dyDescent="0.2"/>
    <row r="136" s="12" customFormat="1" x14ac:dyDescent="0.2"/>
    <row r="137" s="12" customFormat="1" x14ac:dyDescent="0.2"/>
    <row r="138" s="12" customFormat="1" x14ac:dyDescent="0.2"/>
    <row r="139" s="12" customFormat="1" x14ac:dyDescent="0.2"/>
    <row r="140" s="12" customFormat="1" x14ac:dyDescent="0.2"/>
    <row r="141" s="12" customFormat="1" x14ac:dyDescent="0.2"/>
    <row r="142" s="12" customFormat="1" x14ac:dyDescent="0.2"/>
    <row r="143" s="12" customFormat="1" x14ac:dyDescent="0.2"/>
    <row r="144" s="12" customFormat="1" x14ac:dyDescent="0.2"/>
    <row r="145" s="12" customFormat="1" x14ac:dyDescent="0.2"/>
    <row r="146" s="12" customFormat="1" x14ac:dyDescent="0.2"/>
    <row r="147" s="12" customFormat="1" x14ac:dyDescent="0.2"/>
    <row r="148" s="12" customFormat="1" x14ac:dyDescent="0.2"/>
    <row r="149" s="12" customFormat="1" x14ac:dyDescent="0.2"/>
    <row r="150" s="12" customFormat="1" x14ac:dyDescent="0.2"/>
    <row r="151" s="12" customFormat="1" x14ac:dyDescent="0.2"/>
    <row r="152" s="12" customFormat="1" x14ac:dyDescent="0.2"/>
    <row r="153" s="12" customFormat="1" x14ac:dyDescent="0.2"/>
    <row r="154" s="12" customFormat="1" x14ac:dyDescent="0.2"/>
    <row r="155" s="12" customFormat="1" x14ac:dyDescent="0.2"/>
    <row r="156" s="12" customFormat="1" x14ac:dyDescent="0.2"/>
    <row r="157" s="12" customFormat="1" x14ac:dyDescent="0.2"/>
    <row r="158" s="12" customFormat="1" x14ac:dyDescent="0.2"/>
    <row r="159" s="12" customFormat="1" x14ac:dyDescent="0.2"/>
    <row r="160" s="12" customFormat="1" x14ac:dyDescent="0.2"/>
    <row r="161" s="12" customFormat="1" x14ac:dyDescent="0.2"/>
    <row r="162" s="12" customFormat="1" x14ac:dyDescent="0.2"/>
    <row r="163" s="12" customFormat="1" x14ac:dyDescent="0.2"/>
    <row r="164" s="12" customFormat="1" x14ac:dyDescent="0.2"/>
    <row r="165" s="12" customFormat="1" x14ac:dyDescent="0.2"/>
    <row r="166" s="12" customFormat="1" x14ac:dyDescent="0.2"/>
    <row r="167" s="12" customFormat="1" x14ac:dyDescent="0.2"/>
    <row r="168" s="12" customFormat="1" x14ac:dyDescent="0.2"/>
    <row r="169" s="12" customFormat="1" x14ac:dyDescent="0.2"/>
    <row r="170" s="12" customFormat="1" x14ac:dyDescent="0.2"/>
    <row r="171" s="12" customFormat="1" x14ac:dyDescent="0.2"/>
    <row r="172" s="12" customFormat="1" x14ac:dyDescent="0.2"/>
    <row r="173" s="12" customFormat="1" x14ac:dyDescent="0.2"/>
    <row r="174" s="12" customFormat="1" x14ac:dyDescent="0.2"/>
    <row r="175" s="12" customFormat="1" x14ac:dyDescent="0.2"/>
    <row r="176" s="12" customFormat="1" x14ac:dyDescent="0.2"/>
    <row r="177" s="12" customFormat="1" x14ac:dyDescent="0.2"/>
    <row r="178" s="12" customFormat="1" x14ac:dyDescent="0.2"/>
    <row r="179" s="12" customFormat="1" x14ac:dyDescent="0.2"/>
    <row r="180" s="12" customFormat="1" x14ac:dyDescent="0.2"/>
    <row r="181" s="12" customFormat="1" x14ac:dyDescent="0.2"/>
    <row r="182" s="12" customFormat="1" x14ac:dyDescent="0.2"/>
    <row r="183" s="12" customFormat="1" x14ac:dyDescent="0.2"/>
    <row r="184" s="12" customFormat="1" x14ac:dyDescent="0.2"/>
    <row r="185" s="12" customFormat="1" x14ac:dyDescent="0.2"/>
    <row r="186" s="12" customFormat="1" x14ac:dyDescent="0.2"/>
    <row r="187" s="12" customFormat="1" x14ac:dyDescent="0.2"/>
    <row r="188" s="12" customFormat="1" x14ac:dyDescent="0.2"/>
    <row r="189" s="12" customFormat="1" x14ac:dyDescent="0.2"/>
    <row r="190" s="12" customFormat="1" x14ac:dyDescent="0.2"/>
    <row r="191" s="12" customFormat="1" x14ac:dyDescent="0.2"/>
    <row r="192" s="12" customFormat="1" x14ac:dyDescent="0.2"/>
    <row r="193" s="12" customFormat="1" x14ac:dyDescent="0.2"/>
    <row r="194" s="12" customFormat="1" x14ac:dyDescent="0.2"/>
    <row r="195" s="12" customFormat="1" x14ac:dyDescent="0.2"/>
    <row r="196" s="12" customFormat="1" x14ac:dyDescent="0.2"/>
    <row r="197" s="12" customFormat="1" x14ac:dyDescent="0.2"/>
    <row r="198" s="12" customFormat="1" x14ac:dyDescent="0.2"/>
    <row r="199" s="12" customFormat="1" x14ac:dyDescent="0.2"/>
    <row r="200" s="12" customFormat="1" x14ac:dyDescent="0.2"/>
    <row r="201" s="12" customFormat="1" x14ac:dyDescent="0.2"/>
    <row r="202" s="12" customFormat="1" x14ac:dyDescent="0.2"/>
    <row r="203" s="12" customFormat="1" x14ac:dyDescent="0.2"/>
    <row r="204" s="12" customFormat="1" x14ac:dyDescent="0.2"/>
    <row r="205" s="12" customFormat="1" x14ac:dyDescent="0.2"/>
    <row r="206" s="12" customFormat="1" x14ac:dyDescent="0.2"/>
    <row r="207" s="12" customFormat="1" x14ac:dyDescent="0.2"/>
    <row r="208" s="12" customFormat="1" x14ac:dyDescent="0.2"/>
    <row r="209" s="12" customFormat="1" x14ac:dyDescent="0.2"/>
    <row r="210" s="12" customFormat="1" x14ac:dyDescent="0.2"/>
    <row r="211" s="12" customFormat="1" x14ac:dyDescent="0.2"/>
    <row r="212" s="12" customFormat="1" x14ac:dyDescent="0.2"/>
    <row r="213" s="12" customFormat="1" x14ac:dyDescent="0.2"/>
    <row r="214" s="12" customFormat="1" x14ac:dyDescent="0.2"/>
    <row r="215" s="12" customFormat="1" x14ac:dyDescent="0.2"/>
    <row r="216" s="12" customFormat="1" x14ac:dyDescent="0.2"/>
    <row r="217" s="12" customFormat="1" x14ac:dyDescent="0.2"/>
    <row r="218" s="12" customFormat="1" x14ac:dyDescent="0.2"/>
    <row r="219" s="12" customFormat="1" x14ac:dyDescent="0.2"/>
    <row r="220" s="12" customFormat="1" x14ac:dyDescent="0.2"/>
    <row r="221" s="12" customFormat="1" x14ac:dyDescent="0.2"/>
    <row r="222" s="12" customFormat="1" x14ac:dyDescent="0.2"/>
    <row r="223" s="12" customFormat="1" x14ac:dyDescent="0.2"/>
    <row r="224" s="12" customFormat="1" x14ac:dyDescent="0.2"/>
    <row r="225" s="12" customFormat="1" x14ac:dyDescent="0.2"/>
    <row r="226" s="12" customFormat="1" x14ac:dyDescent="0.2"/>
    <row r="227" s="12" customFormat="1" x14ac:dyDescent="0.2"/>
    <row r="228" s="12" customFormat="1" x14ac:dyDescent="0.2"/>
    <row r="229" s="12" customFormat="1" x14ac:dyDescent="0.2"/>
    <row r="230" s="12" customFormat="1" x14ac:dyDescent="0.2"/>
    <row r="231" s="12" customFormat="1" x14ac:dyDescent="0.2"/>
    <row r="232" s="12" customFormat="1" x14ac:dyDescent="0.2"/>
    <row r="233" s="12" customFormat="1" x14ac:dyDescent="0.2"/>
    <row r="234" s="12" customFormat="1" x14ac:dyDescent="0.2"/>
    <row r="235" s="12" customFormat="1" x14ac:dyDescent="0.2"/>
    <row r="236" s="12" customFormat="1" x14ac:dyDescent="0.2"/>
    <row r="237" s="12" customFormat="1" x14ac:dyDescent="0.2"/>
    <row r="238" s="12" customFormat="1" x14ac:dyDescent="0.2"/>
    <row r="239" s="12" customFormat="1" x14ac:dyDescent="0.2"/>
    <row r="240" s="12" customFormat="1" x14ac:dyDescent="0.2"/>
    <row r="241" s="12" customFormat="1" x14ac:dyDescent="0.2"/>
    <row r="242" s="12" customFormat="1" x14ac:dyDescent="0.2"/>
    <row r="243" s="12" customFormat="1" x14ac:dyDescent="0.2"/>
    <row r="244" s="12" customFormat="1" x14ac:dyDescent="0.2"/>
    <row r="245" s="12" customFormat="1" x14ac:dyDescent="0.2"/>
    <row r="246" s="12" customFormat="1" x14ac:dyDescent="0.2"/>
    <row r="247" s="12" customFormat="1" x14ac:dyDescent="0.2"/>
    <row r="248" s="12" customFormat="1" x14ac:dyDescent="0.2"/>
    <row r="249" s="12" customFormat="1" x14ac:dyDescent="0.2"/>
    <row r="250" s="12" customFormat="1" x14ac:dyDescent="0.2"/>
    <row r="251" s="12" customFormat="1" x14ac:dyDescent="0.2"/>
    <row r="252" s="12" customFormat="1" x14ac:dyDescent="0.2"/>
    <row r="253" s="12" customFormat="1" x14ac:dyDescent="0.2"/>
    <row r="254" s="12" customFormat="1" x14ac:dyDescent="0.2"/>
    <row r="255" s="12" customFormat="1" x14ac:dyDescent="0.2"/>
    <row r="256" s="12" customFormat="1" x14ac:dyDescent="0.2"/>
    <row r="257" s="12" customFormat="1" x14ac:dyDescent="0.2"/>
    <row r="258" s="12" customFormat="1" x14ac:dyDescent="0.2"/>
    <row r="259" s="12" customFormat="1" x14ac:dyDescent="0.2"/>
    <row r="260" s="12" customFormat="1" x14ac:dyDescent="0.2"/>
    <row r="261" s="12" customFormat="1" x14ac:dyDescent="0.2"/>
    <row r="262" s="12" customFormat="1" x14ac:dyDescent="0.2"/>
    <row r="263" s="12" customFormat="1" x14ac:dyDescent="0.2"/>
    <row r="264" s="12" customFormat="1" x14ac:dyDescent="0.2"/>
    <row r="265" s="12" customFormat="1" x14ac:dyDescent="0.2"/>
    <row r="266" s="12" customFormat="1" x14ac:dyDescent="0.2"/>
    <row r="267" s="12" customFormat="1" x14ac:dyDescent="0.2"/>
    <row r="268" s="12" customFormat="1" x14ac:dyDescent="0.2"/>
    <row r="269" s="12" customFormat="1" x14ac:dyDescent="0.2"/>
    <row r="270" s="12" customFormat="1" x14ac:dyDescent="0.2"/>
    <row r="271" s="12" customFormat="1" x14ac:dyDescent="0.2"/>
    <row r="272" s="12" customFormat="1" x14ac:dyDescent="0.2"/>
    <row r="273" s="12" customFormat="1" x14ac:dyDescent="0.2"/>
    <row r="274" s="12" customFormat="1" x14ac:dyDescent="0.2"/>
    <row r="275" s="12" customFormat="1" x14ac:dyDescent="0.2"/>
    <row r="276" s="12" customFormat="1" x14ac:dyDescent="0.2"/>
    <row r="277" s="12" customFormat="1" x14ac:dyDescent="0.2"/>
    <row r="278" s="12" customFormat="1" x14ac:dyDescent="0.2"/>
    <row r="279" s="12" customFormat="1" x14ac:dyDescent="0.2"/>
    <row r="280" s="12" customFormat="1" x14ac:dyDescent="0.2"/>
    <row r="281" s="12" customFormat="1" x14ac:dyDescent="0.2"/>
    <row r="282" s="12" customFormat="1" x14ac:dyDescent="0.2"/>
    <row r="283" s="12" customFormat="1" x14ac:dyDescent="0.2"/>
    <row r="284" s="12" customFormat="1" x14ac:dyDescent="0.2"/>
    <row r="285" s="12" customFormat="1" x14ac:dyDescent="0.2"/>
    <row r="286" s="12" customFormat="1" x14ac:dyDescent="0.2"/>
    <row r="287" s="12" customFormat="1" x14ac:dyDescent="0.2"/>
    <row r="288" s="12" customFormat="1" x14ac:dyDescent="0.2"/>
    <row r="289" s="12" customFormat="1" x14ac:dyDescent="0.2"/>
    <row r="290" s="12" customFormat="1" x14ac:dyDescent="0.2"/>
    <row r="291" s="12" customFormat="1" x14ac:dyDescent="0.2"/>
    <row r="292" s="12" customFormat="1" x14ac:dyDescent="0.2"/>
    <row r="293" s="12" customFormat="1" x14ac:dyDescent="0.2"/>
    <row r="294" s="12" customFormat="1" x14ac:dyDescent="0.2"/>
    <row r="295" s="12" customFormat="1" x14ac:dyDescent="0.2"/>
    <row r="296" s="12" customFormat="1" x14ac:dyDescent="0.2"/>
    <row r="297" s="12" customFormat="1" x14ac:dyDescent="0.2"/>
    <row r="298" s="12" customFormat="1" x14ac:dyDescent="0.2"/>
    <row r="299" s="12" customFormat="1" x14ac:dyDescent="0.2"/>
    <row r="300" s="12" customFormat="1" x14ac:dyDescent="0.2"/>
    <row r="301" s="12" customFormat="1" x14ac:dyDescent="0.2"/>
    <row r="302" s="12" customFormat="1" x14ac:dyDescent="0.2"/>
    <row r="303" s="12" customFormat="1" x14ac:dyDescent="0.2"/>
    <row r="304" s="12" customFormat="1" x14ac:dyDescent="0.2"/>
    <row r="305" s="12" customFormat="1" x14ac:dyDescent="0.2"/>
    <row r="306" s="12" customFormat="1" x14ac:dyDescent="0.2"/>
    <row r="307" s="12" customFormat="1" x14ac:dyDescent="0.2"/>
    <row r="308" s="12" customFormat="1" x14ac:dyDescent="0.2"/>
    <row r="309" s="12" customFormat="1" x14ac:dyDescent="0.2"/>
    <row r="310" s="12" customFormat="1" x14ac:dyDescent="0.2"/>
    <row r="311" s="12" customFormat="1" x14ac:dyDescent="0.2"/>
    <row r="312" s="12" customFormat="1" x14ac:dyDescent="0.2"/>
    <row r="313" s="12" customFormat="1" x14ac:dyDescent="0.2"/>
    <row r="314" s="12" customFormat="1" x14ac:dyDescent="0.2"/>
    <row r="315" s="12" customFormat="1" x14ac:dyDescent="0.2"/>
    <row r="316" s="12" customFormat="1" x14ac:dyDescent="0.2"/>
    <row r="317" s="12" customFormat="1" x14ac:dyDescent="0.2"/>
    <row r="318" s="12" customFormat="1" x14ac:dyDescent="0.2"/>
    <row r="319" s="12" customFormat="1" x14ac:dyDescent="0.2"/>
    <row r="320" s="12" customFormat="1" x14ac:dyDescent="0.2"/>
    <row r="321" s="12" customFormat="1" x14ac:dyDescent="0.2"/>
    <row r="322" s="12" customFormat="1" x14ac:dyDescent="0.2"/>
    <row r="323" s="12" customFormat="1" x14ac:dyDescent="0.2"/>
    <row r="324" s="12" customFormat="1" x14ac:dyDescent="0.2"/>
    <row r="325" s="12" customFormat="1" x14ac:dyDescent="0.2"/>
    <row r="326" s="12" customFormat="1" x14ac:dyDescent="0.2"/>
    <row r="327" s="12" customFormat="1" x14ac:dyDescent="0.2"/>
    <row r="328" s="12" customFormat="1" x14ac:dyDescent="0.2"/>
    <row r="329" s="12" customFormat="1" x14ac:dyDescent="0.2"/>
    <row r="330" s="12" customFormat="1" x14ac:dyDescent="0.2"/>
    <row r="331" s="12" customFormat="1" x14ac:dyDescent="0.2"/>
    <row r="332" s="12" customFormat="1" x14ac:dyDescent="0.2"/>
    <row r="333" s="12" customFormat="1" x14ac:dyDescent="0.2"/>
    <row r="334" s="12" customFormat="1" x14ac:dyDescent="0.2"/>
    <row r="335" s="12" customFormat="1" x14ac:dyDescent="0.2"/>
    <row r="336" s="12" customFormat="1" x14ac:dyDescent="0.2"/>
    <row r="337" s="12" customFormat="1" x14ac:dyDescent="0.2"/>
    <row r="338" s="12" customFormat="1" x14ac:dyDescent="0.2"/>
    <row r="339" s="12" customFormat="1" x14ac:dyDescent="0.2"/>
    <row r="340" s="12" customFormat="1" x14ac:dyDescent="0.2"/>
    <row r="341" s="12" customFormat="1" x14ac:dyDescent="0.2"/>
    <row r="342" s="12" customFormat="1" x14ac:dyDescent="0.2"/>
    <row r="343" s="12" customFormat="1" x14ac:dyDescent="0.2"/>
    <row r="344" s="12" customFormat="1" x14ac:dyDescent="0.2"/>
    <row r="345" s="12" customFormat="1" x14ac:dyDescent="0.2"/>
    <row r="346" s="12" customFormat="1" x14ac:dyDescent="0.2"/>
    <row r="347" s="12" customFormat="1" x14ac:dyDescent="0.2"/>
    <row r="348" s="12" customFormat="1" x14ac:dyDescent="0.2"/>
    <row r="349" s="12" customFormat="1" x14ac:dyDescent="0.2"/>
    <row r="350" s="12" customFormat="1" x14ac:dyDescent="0.2"/>
    <row r="351" s="12" customFormat="1" x14ac:dyDescent="0.2"/>
    <row r="352" s="12" customFormat="1" x14ac:dyDescent="0.2"/>
    <row r="353" s="12" customFormat="1" x14ac:dyDescent="0.2"/>
    <row r="354" s="12" customFormat="1" x14ac:dyDescent="0.2"/>
    <row r="355" s="12" customFormat="1" x14ac:dyDescent="0.2"/>
    <row r="356" s="12" customFormat="1" x14ac:dyDescent="0.2"/>
    <row r="357" s="12" customFormat="1" x14ac:dyDescent="0.2"/>
    <row r="358" s="12" customFormat="1" x14ac:dyDescent="0.2"/>
    <row r="359" s="12" customFormat="1" x14ac:dyDescent="0.2"/>
    <row r="360" s="12" customFormat="1" x14ac:dyDescent="0.2"/>
    <row r="361" s="12" customFormat="1" x14ac:dyDescent="0.2"/>
    <row r="362" s="12" customFormat="1" x14ac:dyDescent="0.2"/>
    <row r="363" s="12" customFormat="1" x14ac:dyDescent="0.2"/>
    <row r="364" s="12" customFormat="1" x14ac:dyDescent="0.2"/>
    <row r="365" s="12" customFormat="1" x14ac:dyDescent="0.2"/>
    <row r="366" s="12" customFormat="1" x14ac:dyDescent="0.2"/>
    <row r="367" s="12" customFormat="1" x14ac:dyDescent="0.2"/>
    <row r="368" s="12" customFormat="1" x14ac:dyDescent="0.2"/>
    <row r="369" s="12" customFormat="1" x14ac:dyDescent="0.2"/>
    <row r="370" s="12" customFormat="1" x14ac:dyDescent="0.2"/>
    <row r="371" s="12" customFormat="1" x14ac:dyDescent="0.2"/>
    <row r="372" s="12" customFormat="1" x14ac:dyDescent="0.2"/>
    <row r="373" s="12" customFormat="1" x14ac:dyDescent="0.2"/>
    <row r="374" s="12" customFormat="1" x14ac:dyDescent="0.2"/>
    <row r="375" s="12" customFormat="1" x14ac:dyDescent="0.2"/>
    <row r="376" s="12" customFormat="1" x14ac:dyDescent="0.2"/>
    <row r="377" s="12" customFormat="1" x14ac:dyDescent="0.2"/>
    <row r="378" s="12" customFormat="1" x14ac:dyDescent="0.2"/>
    <row r="379" s="12" customFormat="1" x14ac:dyDescent="0.2"/>
    <row r="380" s="12" customFormat="1" x14ac:dyDescent="0.2"/>
    <row r="381" s="12" customFormat="1" x14ac:dyDescent="0.2"/>
    <row r="382" s="12" customFormat="1" x14ac:dyDescent="0.2"/>
    <row r="383" s="12" customFormat="1" x14ac:dyDescent="0.2"/>
    <row r="384" s="12" customFormat="1" x14ac:dyDescent="0.2"/>
    <row r="385" s="12" customFormat="1" x14ac:dyDescent="0.2"/>
    <row r="386" s="12" customFormat="1" x14ac:dyDescent="0.2"/>
    <row r="387" s="12" customFormat="1" x14ac:dyDescent="0.2"/>
    <row r="388" s="12" customFormat="1" x14ac:dyDescent="0.2"/>
    <row r="389" s="12" customFormat="1" x14ac:dyDescent="0.2"/>
    <row r="390" s="12" customFormat="1" x14ac:dyDescent="0.2"/>
    <row r="391" s="12" customFormat="1" x14ac:dyDescent="0.2"/>
    <row r="392" s="12" customFormat="1" x14ac:dyDescent="0.2"/>
    <row r="393" s="12" customFormat="1" x14ac:dyDescent="0.2"/>
    <row r="394" s="12" customFormat="1" x14ac:dyDescent="0.2"/>
    <row r="395" s="12" customFormat="1" x14ac:dyDescent="0.2"/>
    <row r="396" s="12" customFormat="1" x14ac:dyDescent="0.2"/>
    <row r="397" s="12" customFormat="1" x14ac:dyDescent="0.2"/>
    <row r="398" s="12" customFormat="1" x14ac:dyDescent="0.2"/>
    <row r="399" s="12" customFormat="1" x14ac:dyDescent="0.2"/>
    <row r="400" s="12" customFormat="1" x14ac:dyDescent="0.2"/>
    <row r="401" s="12" customFormat="1" x14ac:dyDescent="0.2"/>
    <row r="402" s="12" customFormat="1" x14ac:dyDescent="0.2"/>
    <row r="403" s="12" customFormat="1" x14ac:dyDescent="0.2"/>
    <row r="404" s="12" customFormat="1" x14ac:dyDescent="0.2"/>
    <row r="405" s="12" customFormat="1" x14ac:dyDescent="0.2"/>
    <row r="406" s="12" customFormat="1" x14ac:dyDescent="0.2"/>
    <row r="407" s="12" customFormat="1" x14ac:dyDescent="0.2"/>
    <row r="408" s="12" customFormat="1" x14ac:dyDescent="0.2"/>
    <row r="409" s="12" customFormat="1" x14ac:dyDescent="0.2"/>
    <row r="410" s="12" customFormat="1" x14ac:dyDescent="0.2"/>
    <row r="411" s="12" customFormat="1" x14ac:dyDescent="0.2"/>
    <row r="412" s="12" customFormat="1" x14ac:dyDescent="0.2"/>
    <row r="413" s="12" customFormat="1" x14ac:dyDescent="0.2"/>
    <row r="414" s="12" customFormat="1" x14ac:dyDescent="0.2"/>
    <row r="415" s="12" customFormat="1" x14ac:dyDescent="0.2"/>
    <row r="416" s="12" customFormat="1" x14ac:dyDescent="0.2"/>
    <row r="417" s="12" customFormat="1" x14ac:dyDescent="0.2"/>
    <row r="418" s="12" customFormat="1" x14ac:dyDescent="0.2"/>
    <row r="419" s="12" customFormat="1" x14ac:dyDescent="0.2"/>
    <row r="420" s="12" customFormat="1" x14ac:dyDescent="0.2"/>
    <row r="421" s="12" customFormat="1" x14ac:dyDescent="0.2"/>
    <row r="422" s="12" customFormat="1" x14ac:dyDescent="0.2"/>
    <row r="423" s="12" customFormat="1" x14ac:dyDescent="0.2"/>
    <row r="424" s="12" customFormat="1" x14ac:dyDescent="0.2"/>
    <row r="425" s="12" customFormat="1" x14ac:dyDescent="0.2"/>
    <row r="426" s="12" customFormat="1" x14ac:dyDescent="0.2"/>
    <row r="427" s="12" customFormat="1" x14ac:dyDescent="0.2"/>
    <row r="428" s="12" customFormat="1" x14ac:dyDescent="0.2"/>
    <row r="429" s="12" customFormat="1" x14ac:dyDescent="0.2"/>
    <row r="430" s="12" customFormat="1" x14ac:dyDescent="0.2"/>
    <row r="431" s="12" customFormat="1" x14ac:dyDescent="0.2"/>
    <row r="432" s="12" customFormat="1" x14ac:dyDescent="0.2"/>
    <row r="433" s="12" customFormat="1" x14ac:dyDescent="0.2"/>
    <row r="434" s="12" customFormat="1" x14ac:dyDescent="0.2"/>
    <row r="435" s="12" customFormat="1" x14ac:dyDescent="0.2"/>
    <row r="436" s="12" customFormat="1" x14ac:dyDescent="0.2"/>
    <row r="437" s="12" customFormat="1" x14ac:dyDescent="0.2"/>
    <row r="438" s="12" customFormat="1" x14ac:dyDescent="0.2"/>
    <row r="439" s="12" customFormat="1" x14ac:dyDescent="0.2"/>
    <row r="440" s="12" customFormat="1" x14ac:dyDescent="0.2"/>
    <row r="441" s="12" customFormat="1" x14ac:dyDescent="0.2"/>
    <row r="442" s="12" customFormat="1" x14ac:dyDescent="0.2"/>
    <row r="443" s="12" customFormat="1" x14ac:dyDescent="0.2"/>
    <row r="444" s="12" customFormat="1" x14ac:dyDescent="0.2"/>
    <row r="445" s="12" customFormat="1" x14ac:dyDescent="0.2"/>
    <row r="446" s="12" customFormat="1" x14ac:dyDescent="0.2"/>
    <row r="447" s="12" customFormat="1" x14ac:dyDescent="0.2"/>
    <row r="448" s="12" customFormat="1" x14ac:dyDescent="0.2"/>
    <row r="449" s="12" customFormat="1" x14ac:dyDescent="0.2"/>
    <row r="450" s="12" customFormat="1" x14ac:dyDescent="0.2"/>
    <row r="451" s="12" customFormat="1" x14ac:dyDescent="0.2"/>
    <row r="452" s="12" customFormat="1" x14ac:dyDescent="0.2"/>
    <row r="453" s="12" customFormat="1" x14ac:dyDescent="0.2"/>
    <row r="454" s="12" customFormat="1" x14ac:dyDescent="0.2"/>
    <row r="455" s="12" customFormat="1" x14ac:dyDescent="0.2"/>
    <row r="456" s="12" customFormat="1" x14ac:dyDescent="0.2"/>
    <row r="457" s="12" customFormat="1" x14ac:dyDescent="0.2"/>
    <row r="458" s="12" customFormat="1" x14ac:dyDescent="0.2"/>
    <row r="459" s="12" customFormat="1" x14ac:dyDescent="0.2"/>
    <row r="460" s="12" customFormat="1" x14ac:dyDescent="0.2"/>
    <row r="461" s="12" customFormat="1" x14ac:dyDescent="0.2"/>
    <row r="462" s="12" customFormat="1" x14ac:dyDescent="0.2"/>
    <row r="463" s="12" customFormat="1" x14ac:dyDescent="0.2"/>
    <row r="464" s="12" customFormat="1" x14ac:dyDescent="0.2"/>
    <row r="465" s="12" customFormat="1" x14ac:dyDescent="0.2"/>
    <row r="466" s="12" customFormat="1" x14ac:dyDescent="0.2"/>
    <row r="467" s="12" customFormat="1" x14ac:dyDescent="0.2"/>
    <row r="468" s="12" customFormat="1" x14ac:dyDescent="0.2"/>
    <row r="469" s="12" customFormat="1" x14ac:dyDescent="0.2"/>
    <row r="470" s="12" customFormat="1" x14ac:dyDescent="0.2"/>
    <row r="471" s="12" customFormat="1" x14ac:dyDescent="0.2"/>
    <row r="472" s="12" customFormat="1" x14ac:dyDescent="0.2"/>
    <row r="473" s="12" customFormat="1" x14ac:dyDescent="0.2"/>
    <row r="474" s="12" customFormat="1" x14ac:dyDescent="0.2"/>
    <row r="475" s="12" customFormat="1" x14ac:dyDescent="0.2"/>
    <row r="476" s="12" customFormat="1" x14ac:dyDescent="0.2"/>
    <row r="477" s="12" customFormat="1" x14ac:dyDescent="0.2"/>
    <row r="478" s="12" customFormat="1" x14ac:dyDescent="0.2"/>
    <row r="479" s="12" customFormat="1" x14ac:dyDescent="0.2"/>
    <row r="480" s="12" customFormat="1" x14ac:dyDescent="0.2"/>
    <row r="481" s="12" customFormat="1" x14ac:dyDescent="0.2"/>
    <row r="482" s="12" customFormat="1" x14ac:dyDescent="0.2"/>
    <row r="483" s="12" customFormat="1" x14ac:dyDescent="0.2"/>
    <row r="484" s="12" customFormat="1" x14ac:dyDescent="0.2"/>
    <row r="485" s="12" customFormat="1" x14ac:dyDescent="0.2"/>
    <row r="486" s="12" customFormat="1" x14ac:dyDescent="0.2"/>
    <row r="487" s="12" customFormat="1" x14ac:dyDescent="0.2"/>
    <row r="488" s="12" customFormat="1" x14ac:dyDescent="0.2"/>
    <row r="489" s="12" customFormat="1" x14ac:dyDescent="0.2"/>
    <row r="490" s="12" customFormat="1" x14ac:dyDescent="0.2"/>
    <row r="491" s="12" customFormat="1" x14ac:dyDescent="0.2"/>
    <row r="492" s="12" customFormat="1" x14ac:dyDescent="0.2"/>
    <row r="493" s="12" customFormat="1" x14ac:dyDescent="0.2"/>
    <row r="494" s="12" customFormat="1" x14ac:dyDescent="0.2"/>
    <row r="495" s="12" customFormat="1" x14ac:dyDescent="0.2"/>
    <row r="496" s="12" customFormat="1" x14ac:dyDescent="0.2"/>
    <row r="497" s="12" customFormat="1" x14ac:dyDescent="0.2"/>
    <row r="498" s="12" customFormat="1" x14ac:dyDescent="0.2"/>
    <row r="499" s="12" customFormat="1" x14ac:dyDescent="0.2"/>
    <row r="500" s="12" customFormat="1" x14ac:dyDescent="0.2"/>
    <row r="501" s="12" customFormat="1" x14ac:dyDescent="0.2"/>
    <row r="502" s="12" customFormat="1" x14ac:dyDescent="0.2"/>
    <row r="503" s="12" customFormat="1" x14ac:dyDescent="0.2"/>
    <row r="504" s="12" customFormat="1" x14ac:dyDescent="0.2"/>
    <row r="505" s="12" customFormat="1" x14ac:dyDescent="0.2"/>
    <row r="506" s="12" customFormat="1" x14ac:dyDescent="0.2"/>
    <row r="507" s="12" customFormat="1" x14ac:dyDescent="0.2"/>
    <row r="508" s="12" customFormat="1" x14ac:dyDescent="0.2"/>
    <row r="509" s="12" customFormat="1" x14ac:dyDescent="0.2"/>
    <row r="510" s="12" customFormat="1" x14ac:dyDescent="0.2"/>
    <row r="511" s="12" customFormat="1" x14ac:dyDescent="0.2"/>
    <row r="512" s="12" customFormat="1" x14ac:dyDescent="0.2"/>
    <row r="513" s="12" customFormat="1" x14ac:dyDescent="0.2"/>
    <row r="514" s="12" customFormat="1" x14ac:dyDescent="0.2"/>
    <row r="515" s="12" customFormat="1" x14ac:dyDescent="0.2"/>
    <row r="516" s="12" customFormat="1" x14ac:dyDescent="0.2"/>
    <row r="517" s="12" customFormat="1" x14ac:dyDescent="0.2"/>
    <row r="518" s="12" customFormat="1" x14ac:dyDescent="0.2"/>
    <row r="519" s="12" customFormat="1" x14ac:dyDescent="0.2"/>
    <row r="520" s="12" customFormat="1" x14ac:dyDescent="0.2"/>
    <row r="521" s="12" customFormat="1" x14ac:dyDescent="0.2"/>
    <row r="522" s="12" customFormat="1" x14ac:dyDescent="0.2"/>
    <row r="523" s="12" customFormat="1" x14ac:dyDescent="0.2"/>
    <row r="524" s="12" customFormat="1" x14ac:dyDescent="0.2"/>
    <row r="525" s="12" customFormat="1" x14ac:dyDescent="0.2"/>
    <row r="526" s="12" customFormat="1" x14ac:dyDescent="0.2"/>
    <row r="527" s="12" customFormat="1" x14ac:dyDescent="0.2"/>
    <row r="528" s="12" customFormat="1" x14ac:dyDescent="0.2"/>
    <row r="529" s="12" customFormat="1" x14ac:dyDescent="0.2"/>
    <row r="530" s="12" customFormat="1" x14ac:dyDescent="0.2"/>
    <row r="531" s="12" customFormat="1" x14ac:dyDescent="0.2"/>
    <row r="532" s="12" customFormat="1" x14ac:dyDescent="0.2"/>
    <row r="533" s="12" customFormat="1" x14ac:dyDescent="0.2"/>
    <row r="534" s="12" customFormat="1" x14ac:dyDescent="0.2"/>
    <row r="535" s="12" customFormat="1" x14ac:dyDescent="0.2"/>
    <row r="536" s="12" customFormat="1" x14ac:dyDescent="0.2"/>
    <row r="537" s="12" customFormat="1" x14ac:dyDescent="0.2"/>
    <row r="538" s="12" customFormat="1" x14ac:dyDescent="0.2"/>
    <row r="539" s="12" customFormat="1" x14ac:dyDescent="0.2"/>
    <row r="540" s="12" customFormat="1" x14ac:dyDescent="0.2"/>
    <row r="541" s="12" customFormat="1" x14ac:dyDescent="0.2"/>
    <row r="542" s="12" customFormat="1" x14ac:dyDescent="0.2"/>
    <row r="543" s="12" customFormat="1" x14ac:dyDescent="0.2"/>
    <row r="544" s="12" customFormat="1" x14ac:dyDescent="0.2"/>
    <row r="545" s="12" customFormat="1" x14ac:dyDescent="0.2"/>
    <row r="546" s="12" customFormat="1" x14ac:dyDescent="0.2"/>
    <row r="547" s="12" customFormat="1" x14ac:dyDescent="0.2"/>
    <row r="548" s="12" customFormat="1" x14ac:dyDescent="0.2"/>
    <row r="549" s="12" customFormat="1" x14ac:dyDescent="0.2"/>
    <row r="550" s="12" customFormat="1" x14ac:dyDescent="0.2"/>
    <row r="551" s="12" customFormat="1" x14ac:dyDescent="0.2"/>
    <row r="552" s="12" customFormat="1" x14ac:dyDescent="0.2"/>
    <row r="553" s="12" customFormat="1" x14ac:dyDescent="0.2"/>
    <row r="554" s="12" customFormat="1" x14ac:dyDescent="0.2"/>
    <row r="555" s="12" customFormat="1" x14ac:dyDescent="0.2"/>
    <row r="556" s="12" customFormat="1" x14ac:dyDescent="0.2"/>
    <row r="557" s="12" customFormat="1" x14ac:dyDescent="0.2"/>
    <row r="558" s="12" customFormat="1" x14ac:dyDescent="0.2"/>
    <row r="559" s="12" customFormat="1" x14ac:dyDescent="0.2"/>
    <row r="560" s="12" customFormat="1" x14ac:dyDescent="0.2"/>
    <row r="561" s="12" customFormat="1" x14ac:dyDescent="0.2"/>
    <row r="562" s="12" customFormat="1" x14ac:dyDescent="0.2"/>
    <row r="563" s="12" customFormat="1" x14ac:dyDescent="0.2"/>
    <row r="564" s="12" customFormat="1" x14ac:dyDescent="0.2"/>
    <row r="565" s="12" customFormat="1" x14ac:dyDescent="0.2"/>
    <row r="566" s="12" customFormat="1" x14ac:dyDescent="0.2"/>
    <row r="567" s="12" customFormat="1" x14ac:dyDescent="0.2"/>
    <row r="568" s="12" customFormat="1" x14ac:dyDescent="0.2"/>
    <row r="569" s="12" customFormat="1" x14ac:dyDescent="0.2"/>
    <row r="570" s="12" customFormat="1" x14ac:dyDescent="0.2"/>
    <row r="571" s="12" customFormat="1" x14ac:dyDescent="0.2"/>
    <row r="572" s="12" customFormat="1" x14ac:dyDescent="0.2"/>
    <row r="573" s="12" customFormat="1" x14ac:dyDescent="0.2"/>
    <row r="574" s="12" customFormat="1" x14ac:dyDescent="0.2"/>
    <row r="575" s="12" customFormat="1" x14ac:dyDescent="0.2"/>
    <row r="576" s="12" customFormat="1" x14ac:dyDescent="0.2"/>
    <row r="577" s="12" customFormat="1" x14ac:dyDescent="0.2"/>
    <row r="578" s="12" customFormat="1" x14ac:dyDescent="0.2"/>
    <row r="579" s="12" customFormat="1" x14ac:dyDescent="0.2"/>
    <row r="580" s="12" customFormat="1" x14ac:dyDescent="0.2"/>
    <row r="581" s="12" customFormat="1" x14ac:dyDescent="0.2"/>
    <row r="582" s="12" customFormat="1" x14ac:dyDescent="0.2"/>
    <row r="583" s="12" customFormat="1" x14ac:dyDescent="0.2"/>
    <row r="584" s="12" customFormat="1" x14ac:dyDescent="0.2"/>
    <row r="585" s="12" customFormat="1" x14ac:dyDescent="0.2"/>
    <row r="586" s="12" customFormat="1" x14ac:dyDescent="0.2"/>
    <row r="587" s="12" customFormat="1" x14ac:dyDescent="0.2"/>
    <row r="588" s="12" customFormat="1" x14ac:dyDescent="0.2"/>
    <row r="589" s="12" customFormat="1" x14ac:dyDescent="0.2"/>
    <row r="590" s="12" customFormat="1" x14ac:dyDescent="0.2"/>
    <row r="591" s="12" customFormat="1" x14ac:dyDescent="0.2"/>
    <row r="592" s="12" customFormat="1" x14ac:dyDescent="0.2"/>
    <row r="593" s="12" customFormat="1" x14ac:dyDescent="0.2"/>
    <row r="594" s="12" customFormat="1" x14ac:dyDescent="0.2"/>
    <row r="595" s="12" customFormat="1" x14ac:dyDescent="0.2"/>
    <row r="596" s="12" customFormat="1" x14ac:dyDescent="0.2"/>
    <row r="597" s="12" customFormat="1" x14ac:dyDescent="0.2"/>
    <row r="598" s="12" customFormat="1" x14ac:dyDescent="0.2"/>
    <row r="599" s="12" customFormat="1" x14ac:dyDescent="0.2"/>
    <row r="600" s="12" customFormat="1" x14ac:dyDescent="0.2"/>
    <row r="601" s="12" customFormat="1" x14ac:dyDescent="0.2"/>
    <row r="602" s="12" customFormat="1" x14ac:dyDescent="0.2"/>
    <row r="603" s="12" customFormat="1" x14ac:dyDescent="0.2"/>
    <row r="604" s="12" customFormat="1" x14ac:dyDescent="0.2"/>
    <row r="605" s="12" customFormat="1" x14ac:dyDescent="0.2"/>
    <row r="606" s="12" customFormat="1" x14ac:dyDescent="0.2"/>
    <row r="607" s="12" customFormat="1" x14ac:dyDescent="0.2"/>
    <row r="608" s="12" customFormat="1" x14ac:dyDescent="0.2"/>
    <row r="609" s="12" customFormat="1" x14ac:dyDescent="0.2"/>
    <row r="610" s="12" customFormat="1" x14ac:dyDescent="0.2"/>
    <row r="611" s="12" customFormat="1" x14ac:dyDescent="0.2"/>
    <row r="612" s="12" customFormat="1" x14ac:dyDescent="0.2"/>
    <row r="613" s="12" customFormat="1" x14ac:dyDescent="0.2"/>
    <row r="614" s="12" customFormat="1" x14ac:dyDescent="0.2"/>
    <row r="615" s="12" customFormat="1" x14ac:dyDescent="0.2"/>
    <row r="616" s="12" customFormat="1" x14ac:dyDescent="0.2"/>
    <row r="617" s="12" customFormat="1" x14ac:dyDescent="0.2"/>
    <row r="618" s="12" customFormat="1" x14ac:dyDescent="0.2"/>
    <row r="619" s="12" customFormat="1" x14ac:dyDescent="0.2"/>
    <row r="620" s="12" customFormat="1" x14ac:dyDescent="0.2"/>
    <row r="621" s="12" customFormat="1" x14ac:dyDescent="0.2"/>
    <row r="622" s="12" customFormat="1" x14ac:dyDescent="0.2"/>
    <row r="623" s="12" customFormat="1" x14ac:dyDescent="0.2"/>
    <row r="624" s="12" customFormat="1" x14ac:dyDescent="0.2"/>
    <row r="625" s="12" customFormat="1" x14ac:dyDescent="0.2"/>
    <row r="626" s="12" customFormat="1" x14ac:dyDescent="0.2"/>
    <row r="627" s="12" customFormat="1" x14ac:dyDescent="0.2"/>
    <row r="628" s="12" customFormat="1" x14ac:dyDescent="0.2"/>
    <row r="629" s="12" customFormat="1" x14ac:dyDescent="0.2"/>
    <row r="630" s="12" customFormat="1" x14ac:dyDescent="0.2"/>
    <row r="631" s="12" customFormat="1" x14ac:dyDescent="0.2"/>
    <row r="632" s="12" customFormat="1" x14ac:dyDescent="0.2"/>
    <row r="633" s="12" customFormat="1" x14ac:dyDescent="0.2"/>
    <row r="634" s="12" customFormat="1" x14ac:dyDescent="0.2"/>
    <row r="635" s="12" customFormat="1" x14ac:dyDescent="0.2"/>
    <row r="636" s="12" customFormat="1" x14ac:dyDescent="0.2"/>
    <row r="637" s="12" customFormat="1" x14ac:dyDescent="0.2"/>
    <row r="638" s="12" customFormat="1" x14ac:dyDescent="0.2"/>
    <row r="639" s="12" customFormat="1" x14ac:dyDescent="0.2"/>
    <row r="640" s="12" customFormat="1" x14ac:dyDescent="0.2"/>
    <row r="641" s="12" customFormat="1" x14ac:dyDescent="0.2"/>
    <row r="642" s="12" customFormat="1" x14ac:dyDescent="0.2"/>
    <row r="643" s="12" customFormat="1" x14ac:dyDescent="0.2"/>
    <row r="644" s="12" customFormat="1" x14ac:dyDescent="0.2"/>
    <row r="645" s="12" customFormat="1" x14ac:dyDescent="0.2"/>
    <row r="646" s="12" customFormat="1" x14ac:dyDescent="0.2"/>
    <row r="647" s="12" customFormat="1" x14ac:dyDescent="0.2"/>
    <row r="648" s="12" customFormat="1" x14ac:dyDescent="0.2"/>
    <row r="649" s="12" customFormat="1" x14ac:dyDescent="0.2"/>
    <row r="650" s="12" customFormat="1" x14ac:dyDescent="0.2"/>
    <row r="651" s="12" customFormat="1" x14ac:dyDescent="0.2"/>
    <row r="652" s="12" customFormat="1" x14ac:dyDescent="0.2"/>
    <row r="653" s="12" customFormat="1" x14ac:dyDescent="0.2"/>
    <row r="654" s="12" customFormat="1" x14ac:dyDescent="0.2"/>
    <row r="655" s="12" customFormat="1" x14ac:dyDescent="0.2"/>
    <row r="656" s="12" customFormat="1" x14ac:dyDescent="0.2"/>
    <row r="657" s="12" customFormat="1" x14ac:dyDescent="0.2"/>
    <row r="658" s="12" customFormat="1" x14ac:dyDescent="0.2"/>
    <row r="659" s="12" customFormat="1" x14ac:dyDescent="0.2"/>
    <row r="660" s="12" customFormat="1" x14ac:dyDescent="0.2"/>
    <row r="661" s="12" customFormat="1" x14ac:dyDescent="0.2"/>
    <row r="662" s="12" customFormat="1" x14ac:dyDescent="0.2"/>
    <row r="663" s="12" customFormat="1" x14ac:dyDescent="0.2"/>
    <row r="664" s="12" customFormat="1" x14ac:dyDescent="0.2"/>
    <row r="665" s="12" customFormat="1" x14ac:dyDescent="0.2"/>
    <row r="666" s="12" customFormat="1" x14ac:dyDescent="0.2"/>
    <row r="667" s="12" customFormat="1" x14ac:dyDescent="0.2"/>
    <row r="668" s="12" customFormat="1" x14ac:dyDescent="0.2"/>
    <row r="669" s="12" customFormat="1" x14ac:dyDescent="0.2"/>
    <row r="670" s="12" customFormat="1" x14ac:dyDescent="0.2"/>
    <row r="671" s="12" customFormat="1" x14ac:dyDescent="0.2"/>
    <row r="672" s="12" customFormat="1" x14ac:dyDescent="0.2"/>
    <row r="673" s="12" customFormat="1" x14ac:dyDescent="0.2"/>
    <row r="674" s="12" customFormat="1" x14ac:dyDescent="0.2"/>
    <row r="675" s="12" customFormat="1" x14ac:dyDescent="0.2"/>
    <row r="676" s="12" customFormat="1" x14ac:dyDescent="0.2"/>
    <row r="677" s="12" customFormat="1" x14ac:dyDescent="0.2"/>
    <row r="678" s="12" customFormat="1" x14ac:dyDescent="0.2"/>
    <row r="679" s="12" customFormat="1" x14ac:dyDescent="0.2"/>
    <row r="680" s="12" customFormat="1" x14ac:dyDescent="0.2"/>
    <row r="681" s="12" customFormat="1" x14ac:dyDescent="0.2"/>
    <row r="682" s="12" customFormat="1" x14ac:dyDescent="0.2"/>
    <row r="683" s="12" customFormat="1" x14ac:dyDescent="0.2"/>
    <row r="684" s="12" customFormat="1" x14ac:dyDescent="0.2"/>
    <row r="685" s="12" customFormat="1" x14ac:dyDescent="0.2"/>
    <row r="686" s="12" customFormat="1" x14ac:dyDescent="0.2"/>
    <row r="687" s="12" customFormat="1" x14ac:dyDescent="0.2"/>
    <row r="688" s="12" customFormat="1" x14ac:dyDescent="0.2"/>
    <row r="689" s="12" customFormat="1" x14ac:dyDescent="0.2"/>
    <row r="690" s="12" customFormat="1" x14ac:dyDescent="0.2"/>
    <row r="691" s="12" customFormat="1" x14ac:dyDescent="0.2"/>
    <row r="692" s="12" customFormat="1" x14ac:dyDescent="0.2"/>
    <row r="693" s="12" customFormat="1" x14ac:dyDescent="0.2"/>
    <row r="694" s="12" customFormat="1" x14ac:dyDescent="0.2"/>
    <row r="695" s="12" customFormat="1" x14ac:dyDescent="0.2"/>
    <row r="696" s="12" customFormat="1" x14ac:dyDescent="0.2"/>
    <row r="697" s="12" customFormat="1" x14ac:dyDescent="0.2"/>
    <row r="698" s="12" customFormat="1" x14ac:dyDescent="0.2"/>
    <row r="699" s="12" customFormat="1" x14ac:dyDescent="0.2"/>
    <row r="700" s="12" customFormat="1" x14ac:dyDescent="0.2"/>
    <row r="701" s="12" customFormat="1" x14ac:dyDescent="0.2"/>
    <row r="702" s="12" customFormat="1" x14ac:dyDescent="0.2"/>
    <row r="703" s="12" customFormat="1" x14ac:dyDescent="0.2"/>
    <row r="704" s="12" customFormat="1" x14ac:dyDescent="0.2"/>
    <row r="705" s="12" customFormat="1" x14ac:dyDescent="0.2"/>
    <row r="706" s="12" customFormat="1" x14ac:dyDescent="0.2"/>
    <row r="707" s="12" customFormat="1" x14ac:dyDescent="0.2"/>
    <row r="708" s="12" customFormat="1" x14ac:dyDescent="0.2"/>
    <row r="709" s="12" customFormat="1" x14ac:dyDescent="0.2"/>
    <row r="710" s="12" customFormat="1" x14ac:dyDescent="0.2"/>
    <row r="711" s="12" customFormat="1" x14ac:dyDescent="0.2"/>
    <row r="712" s="12" customFormat="1" x14ac:dyDescent="0.2"/>
    <row r="713" s="12" customFormat="1" x14ac:dyDescent="0.2"/>
    <row r="714" s="12" customFormat="1" x14ac:dyDescent="0.2"/>
    <row r="715" s="12" customFormat="1" x14ac:dyDescent="0.2"/>
    <row r="716" s="12" customFormat="1" x14ac:dyDescent="0.2"/>
    <row r="717" s="12" customFormat="1" x14ac:dyDescent="0.2"/>
    <row r="718" s="12" customFormat="1" x14ac:dyDescent="0.2"/>
    <row r="719" s="12" customFormat="1" x14ac:dyDescent="0.2"/>
    <row r="720" s="12" customFormat="1" x14ac:dyDescent="0.2"/>
    <row r="721" s="12" customFormat="1" x14ac:dyDescent="0.2"/>
    <row r="722" s="12" customFormat="1" x14ac:dyDescent="0.2"/>
    <row r="723" s="12" customFormat="1" x14ac:dyDescent="0.2"/>
    <row r="724" s="12" customFormat="1" x14ac:dyDescent="0.2"/>
    <row r="725" s="12" customFormat="1" x14ac:dyDescent="0.2"/>
    <row r="726" s="12" customFormat="1" x14ac:dyDescent="0.2"/>
    <row r="727" s="12" customFormat="1" x14ac:dyDescent="0.2"/>
    <row r="728" s="12" customFormat="1" x14ac:dyDescent="0.2"/>
    <row r="729" s="12" customFormat="1" x14ac:dyDescent="0.2"/>
    <row r="730" s="12" customFormat="1" x14ac:dyDescent="0.2"/>
    <row r="731" s="12" customFormat="1" x14ac:dyDescent="0.2"/>
    <row r="732" s="12" customFormat="1" x14ac:dyDescent="0.2"/>
    <row r="733" s="12" customFormat="1" x14ac:dyDescent="0.2"/>
    <row r="734" s="12" customFormat="1" x14ac:dyDescent="0.2"/>
    <row r="735" s="12" customFormat="1" x14ac:dyDescent="0.2"/>
    <row r="736" s="12" customFormat="1" x14ac:dyDescent="0.2"/>
    <row r="737" s="12" customFormat="1" x14ac:dyDescent="0.2"/>
    <row r="738" s="12" customFormat="1" x14ac:dyDescent="0.2"/>
    <row r="739" s="12" customFormat="1" x14ac:dyDescent="0.2"/>
    <row r="740" s="12" customFormat="1" x14ac:dyDescent="0.2"/>
    <row r="741" s="12" customFormat="1" x14ac:dyDescent="0.2"/>
    <row r="742" s="12" customFormat="1" x14ac:dyDescent="0.2"/>
    <row r="743" s="12" customFormat="1" x14ac:dyDescent="0.2"/>
    <row r="744" s="12" customFormat="1" x14ac:dyDescent="0.2"/>
    <row r="745" s="12" customFormat="1" x14ac:dyDescent="0.2"/>
    <row r="746" s="12" customFormat="1" x14ac:dyDescent="0.2"/>
    <row r="747" s="12" customFormat="1" x14ac:dyDescent="0.2"/>
    <row r="748" s="12" customFormat="1" x14ac:dyDescent="0.2"/>
    <row r="749" s="12" customFormat="1" x14ac:dyDescent="0.2"/>
    <row r="750" s="12" customFormat="1" x14ac:dyDescent="0.2"/>
    <row r="751" s="12" customFormat="1" x14ac:dyDescent="0.2"/>
    <row r="752" s="12" customFormat="1" x14ac:dyDescent="0.2"/>
    <row r="753" s="12" customFormat="1" x14ac:dyDescent="0.2"/>
    <row r="754" s="12" customFormat="1" x14ac:dyDescent="0.2"/>
    <row r="755" s="12" customFormat="1" x14ac:dyDescent="0.2"/>
    <row r="756" s="12" customFormat="1" x14ac:dyDescent="0.2"/>
    <row r="757" s="12" customFormat="1" x14ac:dyDescent="0.2"/>
    <row r="758" s="12" customFormat="1" x14ac:dyDescent="0.2"/>
    <row r="759" s="12" customFormat="1" x14ac:dyDescent="0.2"/>
    <row r="760" s="12" customFormat="1" x14ac:dyDescent="0.2"/>
    <row r="761" s="12" customFormat="1" x14ac:dyDescent="0.2"/>
    <row r="762" s="12" customFormat="1" x14ac:dyDescent="0.2"/>
    <row r="763" s="12" customFormat="1" x14ac:dyDescent="0.2"/>
    <row r="764" s="12" customFormat="1" x14ac:dyDescent="0.2"/>
    <row r="765" s="12" customFormat="1" x14ac:dyDescent="0.2"/>
    <row r="766" s="12" customFormat="1" x14ac:dyDescent="0.2"/>
    <row r="767" s="12" customFormat="1" x14ac:dyDescent="0.2"/>
    <row r="768" s="12" customFormat="1" x14ac:dyDescent="0.2"/>
    <row r="769" s="12" customFormat="1" x14ac:dyDescent="0.2"/>
    <row r="770" s="12" customFormat="1" x14ac:dyDescent="0.2"/>
    <row r="771" s="12" customFormat="1" x14ac:dyDescent="0.2"/>
    <row r="772" s="12" customFormat="1" x14ac:dyDescent="0.2"/>
    <row r="773" s="12" customFormat="1" x14ac:dyDescent="0.2"/>
    <row r="774" s="12" customFormat="1" x14ac:dyDescent="0.2"/>
    <row r="775" s="12" customFormat="1" x14ac:dyDescent="0.2"/>
    <row r="776" s="12" customFormat="1" x14ac:dyDescent="0.2"/>
    <row r="777" s="12" customFormat="1" x14ac:dyDescent="0.2"/>
    <row r="778" s="12" customFormat="1" x14ac:dyDescent="0.2"/>
    <row r="779" s="12" customFormat="1" x14ac:dyDescent="0.2"/>
    <row r="780" s="12" customFormat="1" x14ac:dyDescent="0.2"/>
    <row r="781" s="12" customFormat="1" x14ac:dyDescent="0.2"/>
    <row r="782" s="12" customFormat="1" x14ac:dyDescent="0.2"/>
    <row r="783" s="12" customFormat="1" x14ac:dyDescent="0.2"/>
    <row r="784" s="12" customFormat="1" x14ac:dyDescent="0.2"/>
    <row r="785" s="12" customFormat="1" x14ac:dyDescent="0.2"/>
    <row r="786" s="12" customFormat="1" x14ac:dyDescent="0.2"/>
    <row r="787" s="12" customFormat="1" x14ac:dyDescent="0.2"/>
    <row r="788" s="12" customFormat="1" x14ac:dyDescent="0.2"/>
    <row r="789" s="12" customFormat="1" x14ac:dyDescent="0.2"/>
    <row r="790" s="12" customFormat="1" x14ac:dyDescent="0.2"/>
    <row r="791" s="12" customFormat="1" x14ac:dyDescent="0.2"/>
    <row r="792" s="12" customFormat="1" x14ac:dyDescent="0.2"/>
    <row r="793" s="12" customFormat="1" x14ac:dyDescent="0.2"/>
    <row r="794" s="12" customFormat="1" x14ac:dyDescent="0.2"/>
    <row r="795" s="12" customFormat="1" x14ac:dyDescent="0.2"/>
    <row r="796" s="12" customFormat="1" x14ac:dyDescent="0.2"/>
    <row r="797" s="12" customFormat="1" x14ac:dyDescent="0.2"/>
    <row r="798" s="12" customFormat="1" x14ac:dyDescent="0.2"/>
    <row r="799" s="12" customFormat="1" x14ac:dyDescent="0.2"/>
    <row r="800" s="12" customFormat="1" x14ac:dyDescent="0.2"/>
    <row r="801" s="12" customFormat="1" x14ac:dyDescent="0.2"/>
    <row r="802" s="12" customFormat="1" x14ac:dyDescent="0.2"/>
    <row r="803" s="12" customFormat="1" x14ac:dyDescent="0.2"/>
    <row r="804" s="12" customFormat="1" x14ac:dyDescent="0.2"/>
    <row r="805" s="12" customFormat="1" x14ac:dyDescent="0.2"/>
    <row r="806" s="12" customFormat="1" x14ac:dyDescent="0.2"/>
    <row r="807" s="12" customFormat="1" x14ac:dyDescent="0.2"/>
    <row r="808" s="12" customFormat="1" x14ac:dyDescent="0.2"/>
    <row r="809" s="12" customFormat="1" x14ac:dyDescent="0.2"/>
    <row r="810" s="12" customFormat="1" x14ac:dyDescent="0.2"/>
    <row r="811" s="12" customFormat="1" x14ac:dyDescent="0.2"/>
    <row r="812" s="12" customFormat="1" x14ac:dyDescent="0.2"/>
    <row r="813" s="12" customFormat="1" x14ac:dyDescent="0.2"/>
    <row r="814" s="12" customFormat="1" x14ac:dyDescent="0.2"/>
    <row r="815" s="12" customFormat="1" x14ac:dyDescent="0.2"/>
    <row r="816" s="12" customFormat="1" x14ac:dyDescent="0.2"/>
    <row r="817" s="12" customFormat="1" x14ac:dyDescent="0.2"/>
    <row r="818" s="12" customFormat="1" x14ac:dyDescent="0.2"/>
    <row r="819" s="12" customFormat="1" x14ac:dyDescent="0.2"/>
    <row r="820" s="12" customFormat="1" x14ac:dyDescent="0.2"/>
    <row r="821" s="12" customFormat="1" x14ac:dyDescent="0.2"/>
    <row r="822" s="12" customFormat="1" x14ac:dyDescent="0.2"/>
    <row r="823" s="12" customFormat="1" x14ac:dyDescent="0.2"/>
    <row r="824" s="12" customFormat="1" x14ac:dyDescent="0.2"/>
    <row r="825" s="12" customFormat="1" x14ac:dyDescent="0.2"/>
    <row r="826" s="12" customFormat="1" x14ac:dyDescent="0.2"/>
    <row r="827" s="12" customFormat="1" x14ac:dyDescent="0.2"/>
    <row r="828" s="12" customFormat="1" x14ac:dyDescent="0.2"/>
    <row r="829" s="12" customFormat="1" x14ac:dyDescent="0.2"/>
    <row r="830" s="12" customFormat="1" x14ac:dyDescent="0.2"/>
    <row r="831" s="12" customFormat="1" x14ac:dyDescent="0.2"/>
    <row r="832" s="12" customFormat="1" x14ac:dyDescent="0.2"/>
    <row r="833" s="12" customFormat="1" x14ac:dyDescent="0.2"/>
    <row r="834" s="12" customFormat="1" x14ac:dyDescent="0.2"/>
    <row r="835" s="12" customFormat="1" x14ac:dyDescent="0.2"/>
    <row r="836" s="12" customFormat="1" x14ac:dyDescent="0.2"/>
    <row r="837" s="12" customFormat="1" x14ac:dyDescent="0.2"/>
    <row r="838" s="12" customFormat="1" x14ac:dyDescent="0.2"/>
    <row r="839" s="12" customFormat="1" x14ac:dyDescent="0.2"/>
    <row r="840" s="12" customFormat="1" x14ac:dyDescent="0.2"/>
    <row r="841" s="12" customFormat="1" x14ac:dyDescent="0.2"/>
    <row r="842" s="12" customFormat="1" x14ac:dyDescent="0.2"/>
    <row r="843" s="12" customFormat="1" x14ac:dyDescent="0.2"/>
    <row r="844" s="12" customFormat="1" x14ac:dyDescent="0.2"/>
    <row r="845" s="12" customFormat="1" x14ac:dyDescent="0.2"/>
    <row r="846" s="12" customFormat="1" x14ac:dyDescent="0.2"/>
    <row r="847" s="12" customFormat="1" x14ac:dyDescent="0.2"/>
    <row r="848" s="12" customFormat="1" x14ac:dyDescent="0.2"/>
    <row r="849" s="12" customFormat="1" x14ac:dyDescent="0.2"/>
    <row r="850" s="12" customFormat="1" x14ac:dyDescent="0.2"/>
    <row r="851" s="12" customFormat="1" x14ac:dyDescent="0.2"/>
    <row r="852" s="12" customFormat="1" x14ac:dyDescent="0.2"/>
    <row r="853" s="12" customFormat="1" x14ac:dyDescent="0.2"/>
    <row r="854" s="12" customFormat="1" x14ac:dyDescent="0.2"/>
    <row r="855" s="12" customFormat="1" x14ac:dyDescent="0.2"/>
    <row r="856" s="12" customFormat="1" x14ac:dyDescent="0.2"/>
    <row r="857" s="12" customFormat="1" x14ac:dyDescent="0.2"/>
    <row r="858" s="12" customFormat="1" x14ac:dyDescent="0.2"/>
    <row r="859" s="12" customFormat="1" x14ac:dyDescent="0.2"/>
    <row r="860" s="12" customFormat="1" x14ac:dyDescent="0.2"/>
    <row r="861" s="12" customFormat="1" x14ac:dyDescent="0.2"/>
    <row r="862" s="12" customFormat="1" x14ac:dyDescent="0.2"/>
    <row r="863" s="12" customFormat="1" x14ac:dyDescent="0.2"/>
    <row r="864" s="12" customFormat="1" x14ac:dyDescent="0.2"/>
    <row r="865" s="12" customFormat="1" x14ac:dyDescent="0.2"/>
    <row r="866" s="12" customFormat="1" x14ac:dyDescent="0.2"/>
    <row r="867" s="12" customFormat="1" x14ac:dyDescent="0.2"/>
    <row r="868" s="12" customFormat="1" x14ac:dyDescent="0.2"/>
    <row r="869" s="12" customFormat="1" x14ac:dyDescent="0.2"/>
    <row r="870" s="12" customFormat="1" x14ac:dyDescent="0.2"/>
    <row r="871" s="12" customFormat="1" x14ac:dyDescent="0.2"/>
    <row r="872" s="12" customFormat="1" x14ac:dyDescent="0.2"/>
    <row r="873" s="12" customFormat="1" x14ac:dyDescent="0.2"/>
    <row r="874" s="12" customFormat="1" x14ac:dyDescent="0.2"/>
    <row r="875" s="12" customFormat="1" x14ac:dyDescent="0.2"/>
    <row r="876" s="12" customFormat="1" x14ac:dyDescent="0.2"/>
    <row r="877" s="12" customFormat="1" x14ac:dyDescent="0.2"/>
    <row r="878" s="12" customFormat="1" x14ac:dyDescent="0.2"/>
    <row r="879" s="12" customFormat="1" x14ac:dyDescent="0.2"/>
    <row r="880" s="12" customFormat="1" x14ac:dyDescent="0.2"/>
    <row r="881" s="12" customFormat="1" x14ac:dyDescent="0.2"/>
    <row r="882" s="12" customFormat="1" x14ac:dyDescent="0.2"/>
    <row r="883" s="12" customFormat="1" x14ac:dyDescent="0.2"/>
    <row r="884" s="12" customFormat="1" x14ac:dyDescent="0.2"/>
    <row r="885" s="12" customFormat="1" x14ac:dyDescent="0.2"/>
    <row r="886" s="12" customFormat="1" x14ac:dyDescent="0.2"/>
    <row r="887" s="12" customFormat="1" x14ac:dyDescent="0.2"/>
    <row r="888" s="12" customFormat="1" x14ac:dyDescent="0.2"/>
    <row r="889" s="12" customFormat="1" x14ac:dyDescent="0.2"/>
    <row r="890" s="12" customFormat="1" x14ac:dyDescent="0.2"/>
    <row r="891" s="12" customFormat="1" x14ac:dyDescent="0.2"/>
    <row r="892" s="12" customFormat="1" x14ac:dyDescent="0.2"/>
    <row r="893" s="12" customFormat="1" x14ac:dyDescent="0.2"/>
    <row r="894" s="12" customFormat="1" x14ac:dyDescent="0.2"/>
    <row r="895" s="12" customFormat="1" x14ac:dyDescent="0.2"/>
    <row r="896" s="12" customFormat="1" x14ac:dyDescent="0.2"/>
    <row r="897" s="12" customFormat="1" x14ac:dyDescent="0.2"/>
    <row r="898" s="12" customFormat="1" x14ac:dyDescent="0.2"/>
    <row r="899" s="12" customFormat="1" x14ac:dyDescent="0.2"/>
    <row r="900" s="12" customFormat="1" x14ac:dyDescent="0.2"/>
    <row r="901" s="12" customFormat="1" x14ac:dyDescent="0.2"/>
    <row r="902" s="12" customFormat="1" x14ac:dyDescent="0.2"/>
    <row r="903" s="12" customFormat="1" x14ac:dyDescent="0.2"/>
    <row r="904" s="12" customFormat="1" x14ac:dyDescent="0.2"/>
    <row r="905" s="12" customFormat="1" x14ac:dyDescent="0.2"/>
    <row r="906" s="12" customFormat="1" x14ac:dyDescent="0.2"/>
    <row r="907" s="12" customFormat="1" x14ac:dyDescent="0.2"/>
    <row r="908" s="12" customFormat="1" x14ac:dyDescent="0.2"/>
    <row r="909" s="12" customFormat="1" x14ac:dyDescent="0.2"/>
    <row r="910" s="12" customFormat="1" x14ac:dyDescent="0.2"/>
    <row r="911" s="12" customFormat="1" x14ac:dyDescent="0.2"/>
    <row r="912" s="12" customFormat="1" x14ac:dyDescent="0.2"/>
    <row r="913" s="12" customFormat="1" x14ac:dyDescent="0.2"/>
    <row r="914" s="12" customFormat="1" x14ac:dyDescent="0.2"/>
    <row r="915" s="12" customFormat="1" x14ac:dyDescent="0.2"/>
    <row r="916" s="12" customFormat="1" x14ac:dyDescent="0.2"/>
    <row r="917" s="12" customFormat="1" x14ac:dyDescent="0.2"/>
    <row r="918" s="12" customFormat="1" x14ac:dyDescent="0.2"/>
    <row r="919" s="12" customFormat="1" x14ac:dyDescent="0.2"/>
    <row r="920" s="12" customFormat="1" x14ac:dyDescent="0.2"/>
    <row r="921" s="12" customFormat="1" x14ac:dyDescent="0.2"/>
    <row r="922" s="12" customFormat="1" x14ac:dyDescent="0.2"/>
    <row r="923" s="12" customFormat="1" x14ac:dyDescent="0.2"/>
    <row r="924" s="12" customFormat="1" x14ac:dyDescent="0.2"/>
    <row r="925" s="12" customFormat="1" x14ac:dyDescent="0.2"/>
    <row r="926" s="12" customFormat="1" x14ac:dyDescent="0.2"/>
    <row r="927" s="12" customFormat="1" x14ac:dyDescent="0.2"/>
    <row r="928" s="12" customFormat="1" x14ac:dyDescent="0.2"/>
    <row r="929" s="12" customFormat="1" x14ac:dyDescent="0.2"/>
    <row r="930" s="12" customFormat="1" x14ac:dyDescent="0.2"/>
    <row r="931" s="12" customFormat="1" x14ac:dyDescent="0.2"/>
    <row r="932" s="12" customFormat="1" x14ac:dyDescent="0.2"/>
    <row r="933" s="12" customFormat="1" x14ac:dyDescent="0.2"/>
    <row r="934" s="12" customFormat="1" x14ac:dyDescent="0.2"/>
    <row r="935" s="12" customFormat="1" x14ac:dyDescent="0.2"/>
    <row r="936" s="12" customFormat="1" x14ac:dyDescent="0.2"/>
    <row r="937" s="12" customFormat="1" x14ac:dyDescent="0.2"/>
    <row r="938" s="12" customFormat="1" x14ac:dyDescent="0.2"/>
    <row r="939" s="12" customFormat="1" x14ac:dyDescent="0.2"/>
    <row r="940" s="12" customFormat="1" x14ac:dyDescent="0.2"/>
    <row r="941" s="12" customFormat="1" x14ac:dyDescent="0.2"/>
    <row r="942" s="12" customFormat="1" x14ac:dyDescent="0.2"/>
    <row r="943" s="12" customFormat="1" x14ac:dyDescent="0.2"/>
    <row r="944" s="12" customFormat="1" x14ac:dyDescent="0.2"/>
    <row r="945" s="12" customFormat="1" x14ac:dyDescent="0.2"/>
    <row r="946" s="12" customFormat="1" x14ac:dyDescent="0.2"/>
    <row r="947" s="12" customFormat="1" x14ac:dyDescent="0.2"/>
    <row r="948" s="12" customFormat="1" x14ac:dyDescent="0.2"/>
    <row r="949" s="12" customFormat="1" x14ac:dyDescent="0.2"/>
    <row r="950" s="12" customFormat="1" x14ac:dyDescent="0.2"/>
    <row r="951" s="12" customFormat="1" x14ac:dyDescent="0.2"/>
    <row r="952" s="12" customFormat="1" x14ac:dyDescent="0.2"/>
    <row r="953" s="12" customFormat="1" x14ac:dyDescent="0.2"/>
    <row r="954" s="12" customFormat="1" x14ac:dyDescent="0.2"/>
    <row r="955" s="12" customFormat="1" x14ac:dyDescent="0.2"/>
    <row r="956" s="12" customFormat="1" x14ac:dyDescent="0.2"/>
    <row r="957" s="12" customFormat="1" x14ac:dyDescent="0.2"/>
    <row r="958" s="12" customFormat="1" x14ac:dyDescent="0.2"/>
    <row r="959" s="12" customFormat="1" x14ac:dyDescent="0.2"/>
    <row r="960" s="12" customFormat="1" x14ac:dyDescent="0.2"/>
    <row r="961" s="12" customFormat="1" x14ac:dyDescent="0.2"/>
    <row r="962" s="12" customFormat="1" x14ac:dyDescent="0.2"/>
    <row r="963" s="12" customFormat="1" x14ac:dyDescent="0.2"/>
    <row r="964" s="12" customFormat="1" x14ac:dyDescent="0.2"/>
    <row r="965" s="12" customFormat="1" x14ac:dyDescent="0.2"/>
    <row r="966" s="12" customFormat="1" x14ac:dyDescent="0.2"/>
    <row r="967" s="12" customFormat="1" x14ac:dyDescent="0.2"/>
    <row r="968" s="12" customFormat="1" x14ac:dyDescent="0.2"/>
    <row r="969" s="12" customFormat="1" x14ac:dyDescent="0.2"/>
    <row r="970" s="12" customFormat="1" x14ac:dyDescent="0.2"/>
    <row r="971" s="12" customFormat="1" x14ac:dyDescent="0.2"/>
    <row r="972" s="12" customFormat="1" x14ac:dyDescent="0.2"/>
    <row r="973" s="12" customFormat="1" x14ac:dyDescent="0.2"/>
    <row r="974" s="12" customFormat="1" x14ac:dyDescent="0.2"/>
    <row r="975" s="12" customFormat="1" x14ac:dyDescent="0.2"/>
    <row r="976" s="12" customFormat="1" x14ac:dyDescent="0.2"/>
    <row r="977" s="12" customFormat="1" x14ac:dyDescent="0.2"/>
    <row r="978" s="12" customFormat="1" x14ac:dyDescent="0.2"/>
    <row r="979" s="12" customFormat="1" x14ac:dyDescent="0.2"/>
    <row r="980" s="12" customFormat="1" x14ac:dyDescent="0.2"/>
    <row r="981" s="12" customFormat="1" x14ac:dyDescent="0.2"/>
    <row r="982" s="12" customFormat="1" x14ac:dyDescent="0.2"/>
    <row r="983" s="12" customFormat="1" x14ac:dyDescent="0.2"/>
    <row r="984" s="12" customFormat="1" x14ac:dyDescent="0.2"/>
    <row r="985" s="12" customFormat="1" x14ac:dyDescent="0.2"/>
    <row r="986" s="12" customFormat="1" x14ac:dyDescent="0.2"/>
    <row r="987" s="12" customFormat="1" x14ac:dyDescent="0.2"/>
    <row r="988" s="12" customFormat="1" x14ac:dyDescent="0.2"/>
    <row r="989" s="12" customFormat="1" x14ac:dyDescent="0.2"/>
    <row r="990" s="12" customFormat="1" x14ac:dyDescent="0.2"/>
    <row r="991" s="12" customFormat="1" x14ac:dyDescent="0.2"/>
    <row r="992" s="12" customFormat="1" x14ac:dyDescent="0.2"/>
    <row r="993" s="12" customFormat="1" x14ac:dyDescent="0.2"/>
    <row r="994" s="12" customFormat="1" x14ac:dyDescent="0.2"/>
    <row r="995" s="12" customFormat="1" x14ac:dyDescent="0.2"/>
    <row r="996" s="12" customFormat="1" x14ac:dyDescent="0.2"/>
    <row r="997" s="12" customFormat="1" x14ac:dyDescent="0.2"/>
    <row r="998" s="12" customFormat="1" x14ac:dyDescent="0.2"/>
    <row r="999" s="12" customFormat="1" x14ac:dyDescent="0.2"/>
    <row r="1000" s="12" customFormat="1" x14ac:dyDescent="0.2"/>
    <row r="1001" s="12" customFormat="1" x14ac:dyDescent="0.2"/>
    <row r="1002" s="12" customFormat="1" x14ac:dyDescent="0.2"/>
    <row r="1003" s="12" customFormat="1" x14ac:dyDescent="0.2"/>
    <row r="1004" s="12" customFormat="1" x14ac:dyDescent="0.2"/>
    <row r="1005" s="12" customFormat="1" x14ac:dyDescent="0.2"/>
    <row r="1006" s="12" customFormat="1" x14ac:dyDescent="0.2"/>
    <row r="1007" s="12" customFormat="1" x14ac:dyDescent="0.2"/>
    <row r="1008" s="12" customFormat="1" x14ac:dyDescent="0.2"/>
    <row r="1009" s="12" customFormat="1" x14ac:dyDescent="0.2"/>
    <row r="1010" s="12" customFormat="1" x14ac:dyDescent="0.2"/>
    <row r="1011" s="12" customFormat="1" x14ac:dyDescent="0.2"/>
    <row r="1012" s="12" customFormat="1" x14ac:dyDescent="0.2"/>
    <row r="1013" s="12" customFormat="1" x14ac:dyDescent="0.2"/>
    <row r="1014" s="12" customFormat="1" x14ac:dyDescent="0.2"/>
    <row r="1015" s="12" customFormat="1" x14ac:dyDescent="0.2"/>
    <row r="1016" s="12" customFormat="1" x14ac:dyDescent="0.2"/>
    <row r="1017" s="12" customFormat="1" x14ac:dyDescent="0.2"/>
    <row r="1018" s="12" customFormat="1" x14ac:dyDescent="0.2"/>
    <row r="1019" s="12" customFormat="1" x14ac:dyDescent="0.2"/>
    <row r="1020" s="12" customFormat="1" x14ac:dyDescent="0.2"/>
    <row r="1021" s="12" customFormat="1" x14ac:dyDescent="0.2"/>
    <row r="1022" s="12" customFormat="1" x14ac:dyDescent="0.2"/>
    <row r="1023" s="12" customFormat="1" x14ac:dyDescent="0.2"/>
    <row r="1024" s="12" customFormat="1" x14ac:dyDescent="0.2"/>
    <row r="1025" s="12" customFormat="1" x14ac:dyDescent="0.2"/>
    <row r="1026" s="12" customFormat="1" x14ac:dyDescent="0.2"/>
    <row r="1027" s="12" customFormat="1" x14ac:dyDescent="0.2"/>
    <row r="1028" s="12" customFormat="1" x14ac:dyDescent="0.2"/>
    <row r="1029" s="12" customFormat="1" x14ac:dyDescent="0.2"/>
    <row r="1030" s="12" customFormat="1" x14ac:dyDescent="0.2"/>
    <row r="1031" s="12" customFormat="1" x14ac:dyDescent="0.2"/>
    <row r="1032" s="12" customFormat="1" x14ac:dyDescent="0.2"/>
    <row r="1033" s="12" customFormat="1" x14ac:dyDescent="0.2"/>
    <row r="1034" s="12" customFormat="1" x14ac:dyDescent="0.2"/>
    <row r="1035" s="12" customFormat="1" x14ac:dyDescent="0.2"/>
    <row r="1036" s="12" customFormat="1" x14ac:dyDescent="0.2"/>
    <row r="1037" s="12" customFormat="1" x14ac:dyDescent="0.2"/>
    <row r="1038" s="12" customFormat="1" x14ac:dyDescent="0.2"/>
    <row r="1039" s="12" customFormat="1" x14ac:dyDescent="0.2"/>
    <row r="1040" s="12" customFormat="1" x14ac:dyDescent="0.2"/>
    <row r="1041" s="12" customFormat="1" x14ac:dyDescent="0.2"/>
    <row r="1042" s="12" customFormat="1" x14ac:dyDescent="0.2"/>
    <row r="1043" s="12" customFormat="1" x14ac:dyDescent="0.2"/>
    <row r="1044" s="12" customFormat="1" x14ac:dyDescent="0.2"/>
    <row r="1045" s="12" customFormat="1" x14ac:dyDescent="0.2"/>
    <row r="1046" s="12" customFormat="1" x14ac:dyDescent="0.2"/>
    <row r="1047" s="12" customFormat="1" x14ac:dyDescent="0.2"/>
    <row r="1048" s="12" customFormat="1" x14ac:dyDescent="0.2"/>
    <row r="1049" s="12" customFormat="1" x14ac:dyDescent="0.2"/>
    <row r="1050" s="12" customFormat="1" x14ac:dyDescent="0.2"/>
    <row r="1051" s="12" customFormat="1" x14ac:dyDescent="0.2"/>
    <row r="1052" s="12" customFormat="1" x14ac:dyDescent="0.2"/>
    <row r="1053" s="12" customFormat="1" x14ac:dyDescent="0.2"/>
    <row r="1054" s="12" customFormat="1" x14ac:dyDescent="0.2"/>
    <row r="1055" s="12" customFormat="1" x14ac:dyDescent="0.2"/>
    <row r="1056" s="12" customFormat="1" x14ac:dyDescent="0.2"/>
    <row r="1057" s="12" customFormat="1" x14ac:dyDescent="0.2"/>
    <row r="1058" s="12" customFormat="1" x14ac:dyDescent="0.2"/>
    <row r="1059" s="12" customFormat="1" x14ac:dyDescent="0.2"/>
    <row r="1060" s="12" customFormat="1" x14ac:dyDescent="0.2"/>
    <row r="1061" s="12" customFormat="1" x14ac:dyDescent="0.2"/>
    <row r="1062" s="12" customFormat="1" x14ac:dyDescent="0.2"/>
    <row r="1063" s="12" customFormat="1" x14ac:dyDescent="0.2"/>
    <row r="1064" s="12" customFormat="1" x14ac:dyDescent="0.2"/>
    <row r="1065" s="12" customFormat="1" x14ac:dyDescent="0.2"/>
    <row r="1066" s="12" customFormat="1" x14ac:dyDescent="0.2"/>
    <row r="1067" s="12" customFormat="1" x14ac:dyDescent="0.2"/>
    <row r="1068" s="12" customFormat="1" x14ac:dyDescent="0.2"/>
    <row r="1069" s="12" customFormat="1" x14ac:dyDescent="0.2"/>
    <row r="1070" s="12" customFormat="1" x14ac:dyDescent="0.2"/>
    <row r="1071" s="12" customFormat="1" x14ac:dyDescent="0.2"/>
    <row r="1072" s="12" customFormat="1" x14ac:dyDescent="0.2"/>
    <row r="1073" s="12" customFormat="1" x14ac:dyDescent="0.2"/>
    <row r="1074" s="12" customFormat="1" x14ac:dyDescent="0.2"/>
    <row r="1075" s="12" customFormat="1" x14ac:dyDescent="0.2"/>
    <row r="1076" s="12" customFormat="1" x14ac:dyDescent="0.2"/>
    <row r="1077" s="12" customFormat="1" x14ac:dyDescent="0.2"/>
    <row r="1078" s="12" customFormat="1" x14ac:dyDescent="0.2"/>
    <row r="1079" s="12" customFormat="1" x14ac:dyDescent="0.2"/>
    <row r="1080" s="12" customFormat="1" x14ac:dyDescent="0.2"/>
    <row r="1081" s="12" customFormat="1" x14ac:dyDescent="0.2"/>
    <row r="1082" s="12" customFormat="1" x14ac:dyDescent="0.2"/>
    <row r="1083" s="12" customFormat="1" x14ac:dyDescent="0.2"/>
    <row r="1084" s="12" customFormat="1" x14ac:dyDescent="0.2"/>
    <row r="1085" s="12" customFormat="1" x14ac:dyDescent="0.2"/>
    <row r="1086" s="12" customFormat="1" x14ac:dyDescent="0.2"/>
    <row r="1087" s="12" customFormat="1" x14ac:dyDescent="0.2"/>
    <row r="1088" s="12" customFormat="1" x14ac:dyDescent="0.2"/>
    <row r="1089" s="12" customFormat="1" x14ac:dyDescent="0.2"/>
    <row r="1090" s="12" customFormat="1" x14ac:dyDescent="0.2"/>
    <row r="1091" s="12" customFormat="1" x14ac:dyDescent="0.2"/>
    <row r="1092" s="12" customFormat="1" x14ac:dyDescent="0.2"/>
    <row r="1093" s="12" customFormat="1" x14ac:dyDescent="0.2"/>
    <row r="1094" s="12" customFormat="1" x14ac:dyDescent="0.2"/>
    <row r="1095" s="12" customFormat="1" x14ac:dyDescent="0.2"/>
    <row r="1096" s="12" customFormat="1" x14ac:dyDescent="0.2"/>
    <row r="1097" s="12" customFormat="1" x14ac:dyDescent="0.2"/>
    <row r="1098" s="12" customFormat="1" x14ac:dyDescent="0.2"/>
    <row r="1099" s="12" customFormat="1" x14ac:dyDescent="0.2"/>
    <row r="1100" s="12" customFormat="1" x14ac:dyDescent="0.2"/>
    <row r="1101" s="12" customFormat="1" x14ac:dyDescent="0.2"/>
    <row r="1102" s="12" customFormat="1" x14ac:dyDescent="0.2"/>
    <row r="1103" s="12" customFormat="1" x14ac:dyDescent="0.2"/>
    <row r="1104" s="12" customFormat="1" x14ac:dyDescent="0.2"/>
    <row r="1105" s="12" customFormat="1" x14ac:dyDescent="0.2"/>
    <row r="1106" s="12" customFormat="1" x14ac:dyDescent="0.2"/>
    <row r="1107" s="12" customFormat="1" x14ac:dyDescent="0.2"/>
    <row r="1108" s="12" customFormat="1" x14ac:dyDescent="0.2"/>
    <row r="1109" s="12" customFormat="1" x14ac:dyDescent="0.2"/>
    <row r="1110" s="12" customFormat="1" x14ac:dyDescent="0.2"/>
    <row r="1111" s="12" customFormat="1" x14ac:dyDescent="0.2"/>
    <row r="1112" s="12" customFormat="1" x14ac:dyDescent="0.2"/>
    <row r="1113" s="12" customFormat="1" x14ac:dyDescent="0.2"/>
    <row r="1114" s="12" customFormat="1" x14ac:dyDescent="0.2"/>
    <row r="1115" s="12" customFormat="1" x14ac:dyDescent="0.2"/>
    <row r="1116" s="12" customFormat="1" x14ac:dyDescent="0.2"/>
    <row r="1117" s="12" customFormat="1" x14ac:dyDescent="0.2"/>
    <row r="1118" s="12" customFormat="1" x14ac:dyDescent="0.2"/>
    <row r="1119" s="12" customFormat="1" x14ac:dyDescent="0.2"/>
    <row r="1120" s="12" customFormat="1" x14ac:dyDescent="0.2"/>
    <row r="1121" s="12" customFormat="1" x14ac:dyDescent="0.2"/>
    <row r="1122" s="12" customFormat="1" x14ac:dyDescent="0.2"/>
    <row r="1123" s="12" customFormat="1" x14ac:dyDescent="0.2"/>
    <row r="1124" s="12" customFormat="1" x14ac:dyDescent="0.2"/>
    <row r="1125" s="12" customFormat="1" x14ac:dyDescent="0.2"/>
    <row r="1126" s="12" customFormat="1" x14ac:dyDescent="0.2"/>
    <row r="1127" s="12" customFormat="1" x14ac:dyDescent="0.2"/>
    <row r="1128" s="12" customFormat="1" x14ac:dyDescent="0.2"/>
    <row r="1129" s="12" customFormat="1" x14ac:dyDescent="0.2"/>
    <row r="1130" s="12" customFormat="1" x14ac:dyDescent="0.2"/>
    <row r="1131" s="12" customFormat="1" x14ac:dyDescent="0.2"/>
    <row r="1132" s="12" customFormat="1" x14ac:dyDescent="0.2"/>
    <row r="1133" s="12" customFormat="1" x14ac:dyDescent="0.2"/>
    <row r="1134" s="12" customFormat="1" x14ac:dyDescent="0.2"/>
    <row r="1135" s="12" customFormat="1" x14ac:dyDescent="0.2"/>
    <row r="1136" s="12" customFormat="1" x14ac:dyDescent="0.2"/>
    <row r="1137" s="12" customFormat="1" x14ac:dyDescent="0.2"/>
    <row r="1138" s="12" customFormat="1" x14ac:dyDescent="0.2"/>
    <row r="1139" s="12" customFormat="1" x14ac:dyDescent="0.2"/>
    <row r="1140" s="12" customFormat="1" x14ac:dyDescent="0.2"/>
    <row r="1141" s="12" customFormat="1" x14ac:dyDescent="0.2"/>
    <row r="1142" s="12" customFormat="1" x14ac:dyDescent="0.2"/>
    <row r="1143" s="12" customFormat="1" x14ac:dyDescent="0.2"/>
    <row r="1144" s="12" customFormat="1" x14ac:dyDescent="0.2"/>
    <row r="1145" s="12" customFormat="1" x14ac:dyDescent="0.2"/>
    <row r="1146" s="12" customFormat="1" x14ac:dyDescent="0.2"/>
    <row r="1147" s="12" customFormat="1" x14ac:dyDescent="0.2"/>
    <row r="1148" s="12" customFormat="1" x14ac:dyDescent="0.2"/>
    <row r="1149" s="12" customFormat="1" x14ac:dyDescent="0.2"/>
    <row r="1150" s="12" customFormat="1" x14ac:dyDescent="0.2"/>
    <row r="1151" s="12" customFormat="1" x14ac:dyDescent="0.2"/>
    <row r="1152" s="12" customFormat="1" x14ac:dyDescent="0.2"/>
    <row r="1153" s="12" customFormat="1" x14ac:dyDescent="0.2"/>
    <row r="1154" s="12" customFormat="1" x14ac:dyDescent="0.2"/>
    <row r="1155" s="12" customFormat="1" x14ac:dyDescent="0.2"/>
    <row r="1156" s="12" customFormat="1" x14ac:dyDescent="0.2"/>
    <row r="1157" s="12" customFormat="1" x14ac:dyDescent="0.2"/>
    <row r="1158" s="12" customFormat="1" x14ac:dyDescent="0.2"/>
    <row r="1159" s="12" customFormat="1" x14ac:dyDescent="0.2"/>
    <row r="1160" s="12" customFormat="1" x14ac:dyDescent="0.2"/>
    <row r="1161" s="12" customFormat="1" x14ac:dyDescent="0.2"/>
    <row r="1162" s="12" customFormat="1" x14ac:dyDescent="0.2"/>
    <row r="1163" s="12" customFormat="1" x14ac:dyDescent="0.2"/>
    <row r="1164" s="12" customFormat="1" x14ac:dyDescent="0.2"/>
    <row r="1165" s="12" customFormat="1" x14ac:dyDescent="0.2"/>
    <row r="1166" s="12" customFormat="1" x14ac:dyDescent="0.2"/>
    <row r="1167" s="12" customFormat="1" x14ac:dyDescent="0.2"/>
    <row r="1168" s="12" customFormat="1" x14ac:dyDescent="0.2"/>
    <row r="1169" s="12" customFormat="1" x14ac:dyDescent="0.2"/>
    <row r="1170" s="12" customFormat="1" x14ac:dyDescent="0.2"/>
    <row r="1171" s="12" customFormat="1" x14ac:dyDescent="0.2"/>
    <row r="1172" s="12" customFormat="1" x14ac:dyDescent="0.2"/>
    <row r="1173" s="12" customFormat="1" x14ac:dyDescent="0.2"/>
    <row r="1174" s="12" customFormat="1" x14ac:dyDescent="0.2"/>
    <row r="1175" s="12" customFormat="1" x14ac:dyDescent="0.2"/>
    <row r="1176" s="12" customFormat="1" x14ac:dyDescent="0.2"/>
    <row r="1177" s="12" customFormat="1" x14ac:dyDescent="0.2"/>
    <row r="1178" s="12" customFormat="1" x14ac:dyDescent="0.2"/>
    <row r="1179" s="12" customFormat="1" x14ac:dyDescent="0.2"/>
    <row r="1180" s="12" customFormat="1" x14ac:dyDescent="0.2"/>
    <row r="1181" s="12" customFormat="1" x14ac:dyDescent="0.2"/>
    <row r="1182" s="12" customFormat="1" x14ac:dyDescent="0.2"/>
    <row r="1183" s="12" customFormat="1" x14ac:dyDescent="0.2"/>
    <row r="1184" s="12" customFormat="1" x14ac:dyDescent="0.2"/>
    <row r="1185" s="12" customFormat="1" x14ac:dyDescent="0.2"/>
    <row r="1186" s="12" customFormat="1" x14ac:dyDescent="0.2"/>
    <row r="1187" s="12" customFormat="1" x14ac:dyDescent="0.2"/>
    <row r="1188" s="12" customFormat="1" x14ac:dyDescent="0.2"/>
    <row r="1189" s="12" customFormat="1" x14ac:dyDescent="0.2"/>
    <row r="1190" s="12" customFormat="1" x14ac:dyDescent="0.2"/>
    <row r="1191" s="12" customFormat="1" x14ac:dyDescent="0.2"/>
    <row r="1192" s="12" customFormat="1" x14ac:dyDescent="0.2"/>
    <row r="1193" s="12" customFormat="1" x14ac:dyDescent="0.2"/>
    <row r="1194" s="12" customFormat="1" x14ac:dyDescent="0.2"/>
    <row r="1195" s="12" customFormat="1" x14ac:dyDescent="0.2"/>
    <row r="1196" s="12" customFormat="1" x14ac:dyDescent="0.2"/>
    <row r="1197" s="12" customFormat="1" x14ac:dyDescent="0.2"/>
    <row r="1198" s="12" customFormat="1" x14ac:dyDescent="0.2"/>
    <row r="1199" s="12" customFormat="1" x14ac:dyDescent="0.2"/>
    <row r="1200" s="12" customFormat="1" x14ac:dyDescent="0.2"/>
    <row r="1201" s="12" customFormat="1" x14ac:dyDescent="0.2"/>
    <row r="1202" s="12" customFormat="1" x14ac:dyDescent="0.2"/>
    <row r="1203" s="12" customFormat="1" x14ac:dyDescent="0.2"/>
    <row r="1204" s="12" customFormat="1" x14ac:dyDescent="0.2"/>
    <row r="1205" s="12" customFormat="1" x14ac:dyDescent="0.2"/>
    <row r="1206" s="12" customFormat="1" x14ac:dyDescent="0.2"/>
    <row r="1207" s="12" customFormat="1" x14ac:dyDescent="0.2"/>
    <row r="1208" s="12" customFormat="1" x14ac:dyDescent="0.2"/>
    <row r="1209" s="12" customFormat="1" x14ac:dyDescent="0.2"/>
    <row r="1210" s="12" customFormat="1" x14ac:dyDescent="0.2"/>
    <row r="1211" s="12" customFormat="1" x14ac:dyDescent="0.2"/>
    <row r="1212" s="12" customFormat="1" x14ac:dyDescent="0.2"/>
    <row r="1213" s="12" customFormat="1" x14ac:dyDescent="0.2"/>
    <row r="1214" s="12" customFormat="1" x14ac:dyDescent="0.2"/>
    <row r="1215" s="12" customFormat="1" x14ac:dyDescent="0.2"/>
    <row r="1216" s="12" customFormat="1" x14ac:dyDescent="0.2"/>
    <row r="1217" s="12" customFormat="1" x14ac:dyDescent="0.2"/>
    <row r="1218" s="12" customFormat="1" x14ac:dyDescent="0.2"/>
    <row r="1219" s="12" customFormat="1" x14ac:dyDescent="0.2"/>
    <row r="1220" s="12" customFormat="1" x14ac:dyDescent="0.2"/>
    <row r="1221" s="12" customFormat="1" x14ac:dyDescent="0.2"/>
    <row r="1222" s="12" customFormat="1" x14ac:dyDescent="0.2"/>
    <row r="1223" s="12" customFormat="1" x14ac:dyDescent="0.2"/>
    <row r="1224" s="12" customFormat="1" x14ac:dyDescent="0.2"/>
    <row r="1225" s="12" customFormat="1" x14ac:dyDescent="0.2"/>
    <row r="1226" s="12" customFormat="1" x14ac:dyDescent="0.2"/>
    <row r="1227" s="12" customFormat="1" x14ac:dyDescent="0.2"/>
    <row r="1228" s="12" customFormat="1" x14ac:dyDescent="0.2"/>
    <row r="1229" s="12" customFormat="1" x14ac:dyDescent="0.2"/>
    <row r="1230" s="12" customFormat="1" x14ac:dyDescent="0.2"/>
    <row r="1231" s="12" customFormat="1" x14ac:dyDescent="0.2"/>
    <row r="1232" s="12" customFormat="1" x14ac:dyDescent="0.2"/>
    <row r="1233" s="12" customFormat="1" x14ac:dyDescent="0.2"/>
    <row r="1234" s="12" customFormat="1" x14ac:dyDescent="0.2"/>
    <row r="1235" s="12" customFormat="1" x14ac:dyDescent="0.2"/>
    <row r="1236" s="12" customFormat="1" x14ac:dyDescent="0.2"/>
    <row r="1237" s="12" customFormat="1" x14ac:dyDescent="0.2"/>
    <row r="1238" s="12" customFormat="1" x14ac:dyDescent="0.2"/>
    <row r="1239" s="12" customFormat="1" x14ac:dyDescent="0.2"/>
    <row r="1240" s="12" customFormat="1" x14ac:dyDescent="0.2"/>
    <row r="1241" s="12" customFormat="1" x14ac:dyDescent="0.2"/>
    <row r="1242" s="12" customFormat="1" x14ac:dyDescent="0.2"/>
    <row r="1243" s="12" customFormat="1" x14ac:dyDescent="0.2"/>
    <row r="1244" s="12" customFormat="1" x14ac:dyDescent="0.2"/>
    <row r="1245" s="12" customFormat="1" x14ac:dyDescent="0.2"/>
    <row r="1246" s="12" customFormat="1" x14ac:dyDescent="0.2"/>
    <row r="1247" s="12" customFormat="1" x14ac:dyDescent="0.2"/>
    <row r="1248" s="12" customFormat="1" x14ac:dyDescent="0.2"/>
    <row r="1249" s="12" customFormat="1" x14ac:dyDescent="0.2"/>
    <row r="1250" s="12" customFormat="1" x14ac:dyDescent="0.2"/>
    <row r="1251" s="12" customFormat="1" x14ac:dyDescent="0.2"/>
    <row r="1252" s="12" customFormat="1" x14ac:dyDescent="0.2"/>
    <row r="1253" s="12" customFormat="1" x14ac:dyDescent="0.2"/>
    <row r="1254" s="12" customFormat="1" x14ac:dyDescent="0.2"/>
    <row r="1255" s="12" customFormat="1" x14ac:dyDescent="0.2"/>
    <row r="1256" s="12" customFormat="1" x14ac:dyDescent="0.2"/>
    <row r="1257" s="12" customFormat="1" x14ac:dyDescent="0.2"/>
    <row r="1258" s="12" customFormat="1" x14ac:dyDescent="0.2"/>
    <row r="1259" s="12" customFormat="1" x14ac:dyDescent="0.2"/>
    <row r="1260" s="12" customFormat="1" x14ac:dyDescent="0.2"/>
    <row r="1261" s="12" customFormat="1" x14ac:dyDescent="0.2"/>
    <row r="1262" s="12" customFormat="1" x14ac:dyDescent="0.2"/>
    <row r="1263" s="12" customFormat="1" x14ac:dyDescent="0.2"/>
    <row r="1264" s="12" customFormat="1" x14ac:dyDescent="0.2"/>
    <row r="1265" s="12" customFormat="1" x14ac:dyDescent="0.2"/>
    <row r="1266" s="12" customFormat="1" x14ac:dyDescent="0.2"/>
    <row r="1267" s="12" customFormat="1" x14ac:dyDescent="0.2"/>
    <row r="1268" s="12" customFormat="1" x14ac:dyDescent="0.2"/>
    <row r="1269" s="12" customFormat="1" x14ac:dyDescent="0.2"/>
    <row r="1270" s="12" customFormat="1" x14ac:dyDescent="0.2"/>
    <row r="1271" s="12" customFormat="1" x14ac:dyDescent="0.2"/>
    <row r="1272" s="12" customFormat="1" x14ac:dyDescent="0.2"/>
    <row r="1273" s="12" customFormat="1" x14ac:dyDescent="0.2"/>
    <row r="1274" s="12" customFormat="1" x14ac:dyDescent="0.2"/>
    <row r="1275" s="12" customFormat="1" x14ac:dyDescent="0.2"/>
    <row r="1276" s="12" customFormat="1" x14ac:dyDescent="0.2"/>
    <row r="1277" s="12" customFormat="1" x14ac:dyDescent="0.2"/>
    <row r="1278" s="12" customFormat="1" x14ac:dyDescent="0.2"/>
    <row r="1279" s="12" customFormat="1" x14ac:dyDescent="0.2"/>
    <row r="1280" s="12" customFormat="1" x14ac:dyDescent="0.2"/>
    <row r="1281" s="12" customFormat="1" x14ac:dyDescent="0.2"/>
    <row r="1282" s="12" customFormat="1" x14ac:dyDescent="0.2"/>
    <row r="1283" s="12" customFormat="1" x14ac:dyDescent="0.2"/>
    <row r="1284" s="12" customFormat="1" x14ac:dyDescent="0.2"/>
    <row r="1285" s="12" customFormat="1" x14ac:dyDescent="0.2"/>
    <row r="1286" s="12" customFormat="1" x14ac:dyDescent="0.2"/>
    <row r="1287" s="12" customFormat="1" x14ac:dyDescent="0.2"/>
    <row r="1288" s="12" customFormat="1" x14ac:dyDescent="0.2"/>
    <row r="1289" s="12" customFormat="1" x14ac:dyDescent="0.2"/>
    <row r="1290" s="12" customFormat="1" x14ac:dyDescent="0.2"/>
    <row r="1291" s="12" customFormat="1" x14ac:dyDescent="0.2"/>
    <row r="1292" s="12" customFormat="1" x14ac:dyDescent="0.2"/>
    <row r="1293" s="12" customFormat="1" x14ac:dyDescent="0.2"/>
    <row r="1294" s="12" customFormat="1" x14ac:dyDescent="0.2"/>
    <row r="1295" s="12" customFormat="1" x14ac:dyDescent="0.2"/>
    <row r="1296" s="12" customFormat="1" x14ac:dyDescent="0.2"/>
    <row r="1297" s="12" customFormat="1" x14ac:dyDescent="0.2"/>
    <row r="1298" s="12" customFormat="1" x14ac:dyDescent="0.2"/>
    <row r="1299" s="12" customFormat="1" x14ac:dyDescent="0.2"/>
    <row r="1300" s="12" customFormat="1" x14ac:dyDescent="0.2"/>
    <row r="1301" s="12" customFormat="1" x14ac:dyDescent="0.2"/>
    <row r="1302" s="12" customFormat="1" x14ac:dyDescent="0.2"/>
    <row r="1303" s="12" customFormat="1" x14ac:dyDescent="0.2"/>
    <row r="1304" s="12" customFormat="1" x14ac:dyDescent="0.2"/>
    <row r="1305" s="12" customFormat="1" x14ac:dyDescent="0.2"/>
    <row r="1306" s="12" customFormat="1" x14ac:dyDescent="0.2"/>
    <row r="1307" s="12" customFormat="1" x14ac:dyDescent="0.2"/>
    <row r="1308" s="12" customFormat="1" x14ac:dyDescent="0.2"/>
    <row r="1309" s="12" customFormat="1" x14ac:dyDescent="0.2"/>
    <row r="1310" s="12" customFormat="1" x14ac:dyDescent="0.2"/>
    <row r="1311" s="12" customFormat="1" x14ac:dyDescent="0.2"/>
    <row r="1312" s="12" customFormat="1" x14ac:dyDescent="0.2"/>
    <row r="1313" s="12" customFormat="1" x14ac:dyDescent="0.2"/>
    <row r="1314" s="12" customFormat="1" x14ac:dyDescent="0.2"/>
    <row r="1315" s="12" customFormat="1" x14ac:dyDescent="0.2"/>
    <row r="1316" s="12" customFormat="1" x14ac:dyDescent="0.2"/>
    <row r="1317" s="12" customFormat="1" x14ac:dyDescent="0.2"/>
    <row r="1318" s="12" customFormat="1" x14ac:dyDescent="0.2"/>
    <row r="1319" s="12" customFormat="1" x14ac:dyDescent="0.2"/>
    <row r="1320" s="12" customFormat="1" x14ac:dyDescent="0.2"/>
    <row r="1321" s="12" customFormat="1" x14ac:dyDescent="0.2"/>
    <row r="1322" s="12" customFormat="1" x14ac:dyDescent="0.2"/>
    <row r="1323" s="12" customFormat="1" x14ac:dyDescent="0.2"/>
    <row r="1324" s="12" customFormat="1" x14ac:dyDescent="0.2"/>
    <row r="1325" s="12" customFormat="1" x14ac:dyDescent="0.2"/>
    <row r="1326" s="12" customFormat="1" x14ac:dyDescent="0.2"/>
    <row r="1327" s="12" customFormat="1" x14ac:dyDescent="0.2"/>
    <row r="1328" s="12" customFormat="1" x14ac:dyDescent="0.2"/>
    <row r="1329" s="12" customFormat="1" x14ac:dyDescent="0.2"/>
    <row r="1330" s="12" customFormat="1" x14ac:dyDescent="0.2"/>
    <row r="1331" s="12" customFormat="1" x14ac:dyDescent="0.2"/>
    <row r="1332" s="12" customFormat="1" x14ac:dyDescent="0.2"/>
    <row r="1333" s="12" customFormat="1" x14ac:dyDescent="0.2"/>
    <row r="1334" s="12" customFormat="1" x14ac:dyDescent="0.2"/>
    <row r="1335" s="12" customFormat="1" x14ac:dyDescent="0.2"/>
    <row r="1336" s="12" customFormat="1" x14ac:dyDescent="0.2"/>
    <row r="1337" s="12" customFormat="1" x14ac:dyDescent="0.2"/>
    <row r="1338" s="12" customFormat="1" x14ac:dyDescent="0.2"/>
    <row r="1339" s="12" customFormat="1" x14ac:dyDescent="0.2"/>
    <row r="1340" s="12" customFormat="1" x14ac:dyDescent="0.2"/>
    <row r="1341" s="12" customFormat="1" x14ac:dyDescent="0.2"/>
    <row r="1342" s="12" customFormat="1" x14ac:dyDescent="0.2"/>
    <row r="1343" s="12" customFormat="1" x14ac:dyDescent="0.2"/>
    <row r="1344" s="12" customFormat="1" x14ac:dyDescent="0.2"/>
    <row r="1345" s="12" customFormat="1" x14ac:dyDescent="0.2"/>
    <row r="1346" s="12" customFormat="1" x14ac:dyDescent="0.2"/>
    <row r="1347" s="12" customFormat="1" x14ac:dyDescent="0.2"/>
    <row r="1348" s="12" customFormat="1" x14ac:dyDescent="0.2"/>
    <row r="1349" s="12" customFormat="1" x14ac:dyDescent="0.2"/>
    <row r="1350" s="12" customFormat="1" x14ac:dyDescent="0.2"/>
    <row r="1351" s="12" customFormat="1" x14ac:dyDescent="0.2"/>
    <row r="1352" s="12" customFormat="1" x14ac:dyDescent="0.2"/>
    <row r="1353" s="12" customFormat="1" x14ac:dyDescent="0.2"/>
    <row r="1354" s="12" customFormat="1" x14ac:dyDescent="0.2"/>
    <row r="1355" s="12" customFormat="1" x14ac:dyDescent="0.2"/>
    <row r="1356" s="12" customFormat="1" x14ac:dyDescent="0.2"/>
    <row r="1357" s="12" customFormat="1" x14ac:dyDescent="0.2"/>
    <row r="1358" s="12" customFormat="1" x14ac:dyDescent="0.2"/>
    <row r="1359" s="12" customFormat="1" x14ac:dyDescent="0.2"/>
    <row r="1360" s="12" customFormat="1" x14ac:dyDescent="0.2"/>
    <row r="1361" s="12" customFormat="1" x14ac:dyDescent="0.2"/>
    <row r="1362" s="12" customFormat="1" x14ac:dyDescent="0.2"/>
    <row r="1363" s="12" customFormat="1" x14ac:dyDescent="0.2"/>
    <row r="1364" s="12" customFormat="1" x14ac:dyDescent="0.2"/>
    <row r="1365" s="12" customFormat="1" x14ac:dyDescent="0.2"/>
    <row r="1366" s="12" customFormat="1" x14ac:dyDescent="0.2"/>
    <row r="1367" s="12" customFormat="1" x14ac:dyDescent="0.2"/>
    <row r="1368" s="12" customFormat="1" x14ac:dyDescent="0.2"/>
    <row r="1369" s="12" customFormat="1" x14ac:dyDescent="0.2"/>
    <row r="1370" s="12" customFormat="1" x14ac:dyDescent="0.2"/>
    <row r="1371" s="12" customFormat="1" x14ac:dyDescent="0.2"/>
    <row r="1372" s="12" customFormat="1" x14ac:dyDescent="0.2"/>
    <row r="1373" s="12" customFormat="1" x14ac:dyDescent="0.2"/>
    <row r="1374" s="12" customFormat="1" x14ac:dyDescent="0.2"/>
    <row r="1375" s="12" customFormat="1" x14ac:dyDescent="0.2"/>
    <row r="1376" s="12" customFormat="1" x14ac:dyDescent="0.2"/>
    <row r="1377" s="12" customFormat="1" x14ac:dyDescent="0.2"/>
    <row r="1378" s="12" customFormat="1" x14ac:dyDescent="0.2"/>
    <row r="1379" s="12" customFormat="1" x14ac:dyDescent="0.2"/>
    <row r="1380" s="12" customFormat="1" x14ac:dyDescent="0.2"/>
    <row r="1381" s="12" customFormat="1" x14ac:dyDescent="0.2"/>
    <row r="1382" s="12" customFormat="1" x14ac:dyDescent="0.2"/>
    <row r="1383" s="12" customFormat="1" x14ac:dyDescent="0.2"/>
    <row r="1384" s="12" customFormat="1" x14ac:dyDescent="0.2"/>
    <row r="1385" s="12" customFormat="1" x14ac:dyDescent="0.2"/>
    <row r="1386" s="12" customFormat="1" x14ac:dyDescent="0.2"/>
    <row r="1387" s="12" customFormat="1" x14ac:dyDescent="0.2"/>
    <row r="1388" s="12" customFormat="1" x14ac:dyDescent="0.2"/>
    <row r="1389" s="12" customFormat="1" x14ac:dyDescent="0.2"/>
    <row r="1390" s="12" customFormat="1" x14ac:dyDescent="0.2"/>
    <row r="1391" s="12" customFormat="1" x14ac:dyDescent="0.2"/>
    <row r="1392" s="12" customFormat="1" x14ac:dyDescent="0.2"/>
    <row r="1393" s="12" customFormat="1" x14ac:dyDescent="0.2"/>
    <row r="1394" s="12" customFormat="1" x14ac:dyDescent="0.2"/>
    <row r="1395" s="12" customFormat="1" x14ac:dyDescent="0.2"/>
    <row r="1396" s="12" customFormat="1" x14ac:dyDescent="0.2"/>
    <row r="1397" s="12" customFormat="1" x14ac:dyDescent="0.2"/>
    <row r="1398" s="12" customFormat="1" x14ac:dyDescent="0.2"/>
    <row r="1399" s="12" customFormat="1" x14ac:dyDescent="0.2"/>
    <row r="1400" s="12" customFormat="1" x14ac:dyDescent="0.2"/>
    <row r="1401" s="12" customFormat="1" x14ac:dyDescent="0.2"/>
    <row r="1402" s="12" customFormat="1" x14ac:dyDescent="0.2"/>
    <row r="1403" s="12" customFormat="1" x14ac:dyDescent="0.2"/>
    <row r="1404" s="12" customFormat="1" x14ac:dyDescent="0.2"/>
    <row r="1405" s="12" customFormat="1" x14ac:dyDescent="0.2"/>
    <row r="1406" s="12" customFormat="1" x14ac:dyDescent="0.2"/>
    <row r="1407" s="12" customFormat="1" x14ac:dyDescent="0.2"/>
    <row r="1408" s="12" customFormat="1" x14ac:dyDescent="0.2"/>
    <row r="1409" s="12" customFormat="1" x14ac:dyDescent="0.2"/>
    <row r="1410" s="12" customFormat="1" x14ac:dyDescent="0.2"/>
    <row r="1411" s="12" customFormat="1" x14ac:dyDescent="0.2"/>
    <row r="1412" s="12" customFormat="1" x14ac:dyDescent="0.2"/>
    <row r="1413" s="12" customFormat="1" x14ac:dyDescent="0.2"/>
    <row r="1414" s="12" customFormat="1" x14ac:dyDescent="0.2"/>
    <row r="1415" s="12" customFormat="1" x14ac:dyDescent="0.2"/>
    <row r="1416" s="12" customFormat="1" x14ac:dyDescent="0.2"/>
    <row r="1417" s="12" customFormat="1" x14ac:dyDescent="0.2"/>
    <row r="1418" s="12" customFormat="1" x14ac:dyDescent="0.2"/>
    <row r="1419" s="12" customFormat="1" x14ac:dyDescent="0.2"/>
    <row r="1420" s="12" customFormat="1" x14ac:dyDescent="0.2"/>
    <row r="1421" s="12" customFormat="1" x14ac:dyDescent="0.2"/>
    <row r="1422" s="12" customFormat="1" x14ac:dyDescent="0.2"/>
    <row r="1423" s="12" customFormat="1" x14ac:dyDescent="0.2"/>
    <row r="1424" s="12" customFormat="1" x14ac:dyDescent="0.2"/>
    <row r="1425" s="12" customFormat="1" x14ac:dyDescent="0.2"/>
    <row r="1426" s="12" customFormat="1" x14ac:dyDescent="0.2"/>
    <row r="1427" s="12" customFormat="1" x14ac:dyDescent="0.2"/>
    <row r="1428" s="12" customFormat="1" x14ac:dyDescent="0.2"/>
    <row r="1429" s="12" customFormat="1" x14ac:dyDescent="0.2"/>
    <row r="1430" s="12" customFormat="1" x14ac:dyDescent="0.2"/>
    <row r="1431" s="12" customFormat="1" x14ac:dyDescent="0.2"/>
    <row r="1432" s="12" customFormat="1" x14ac:dyDescent="0.2"/>
    <row r="1433" s="12" customFormat="1" x14ac:dyDescent="0.2"/>
    <row r="1434" s="12" customFormat="1" x14ac:dyDescent="0.2"/>
    <row r="1435" s="12" customFormat="1" x14ac:dyDescent="0.2"/>
    <row r="1436" s="12" customFormat="1" x14ac:dyDescent="0.2"/>
    <row r="1437" s="12" customFormat="1" x14ac:dyDescent="0.2"/>
    <row r="1438" s="12" customFormat="1" x14ac:dyDescent="0.2"/>
    <row r="1439" s="12" customFormat="1" x14ac:dyDescent="0.2"/>
    <row r="1440" s="12" customFormat="1" x14ac:dyDescent="0.2"/>
    <row r="1441" s="12" customFormat="1" x14ac:dyDescent="0.2"/>
    <row r="1442" s="12" customFormat="1" x14ac:dyDescent="0.2"/>
    <row r="1443" s="12" customFormat="1" x14ac:dyDescent="0.2"/>
    <row r="1444" s="12" customFormat="1" x14ac:dyDescent="0.2"/>
    <row r="1445" s="12" customFormat="1" x14ac:dyDescent="0.2"/>
    <row r="1446" s="12" customFormat="1" x14ac:dyDescent="0.2"/>
    <row r="1447" s="12" customFormat="1" x14ac:dyDescent="0.2"/>
    <row r="1448" s="12" customFormat="1" x14ac:dyDescent="0.2"/>
    <row r="1449" s="12" customFormat="1" x14ac:dyDescent="0.2"/>
    <row r="1450" s="12" customFormat="1" x14ac:dyDescent="0.2"/>
    <row r="1451" s="12" customFormat="1" x14ac:dyDescent="0.2"/>
    <row r="1452" s="12" customFormat="1" x14ac:dyDescent="0.2"/>
    <row r="1453" s="12" customFormat="1" x14ac:dyDescent="0.2"/>
    <row r="1454" s="12" customFormat="1" x14ac:dyDescent="0.2"/>
    <row r="1455" s="12" customFormat="1" x14ac:dyDescent="0.2"/>
    <row r="1456" s="12" customFormat="1" x14ac:dyDescent="0.2"/>
    <row r="1457" s="12" customFormat="1" x14ac:dyDescent="0.2"/>
    <row r="1458" s="12" customFormat="1" x14ac:dyDescent="0.2"/>
    <row r="1459" s="12" customFormat="1" x14ac:dyDescent="0.2"/>
    <row r="1460" s="12" customFormat="1" x14ac:dyDescent="0.2"/>
    <row r="1461" s="12" customFormat="1" x14ac:dyDescent="0.2"/>
    <row r="1462" s="12" customFormat="1" x14ac:dyDescent="0.2"/>
    <row r="1463" s="12" customFormat="1" x14ac:dyDescent="0.2"/>
    <row r="1464" s="12" customFormat="1" x14ac:dyDescent="0.2"/>
    <row r="1465" s="12" customFormat="1" x14ac:dyDescent="0.2"/>
    <row r="1466" s="12" customFormat="1" x14ac:dyDescent="0.2"/>
    <row r="1467" s="12" customFormat="1" x14ac:dyDescent="0.2"/>
    <row r="1468" s="12" customFormat="1" x14ac:dyDescent="0.2"/>
    <row r="1469" s="12" customFormat="1" x14ac:dyDescent="0.2"/>
    <row r="1470" s="12" customFormat="1" x14ac:dyDescent="0.2"/>
    <row r="1471" s="12" customFormat="1" x14ac:dyDescent="0.2"/>
    <row r="1472" s="12" customFormat="1" x14ac:dyDescent="0.2"/>
    <row r="1473" s="12" customFormat="1" x14ac:dyDescent="0.2"/>
    <row r="1474" s="12" customFormat="1" x14ac:dyDescent="0.2"/>
    <row r="1475" s="12" customFormat="1" x14ac:dyDescent="0.2"/>
    <row r="1476" s="12" customFormat="1" x14ac:dyDescent="0.2"/>
    <row r="1477" s="12" customFormat="1" x14ac:dyDescent="0.2"/>
    <row r="1478" s="12" customFormat="1" x14ac:dyDescent="0.2"/>
    <row r="1479" s="12" customFormat="1" x14ac:dyDescent="0.2"/>
    <row r="1480" s="12" customFormat="1" x14ac:dyDescent="0.2"/>
    <row r="1481" s="12" customFormat="1" x14ac:dyDescent="0.2"/>
    <row r="1482" s="12" customFormat="1" x14ac:dyDescent="0.2"/>
    <row r="1483" s="12" customFormat="1" x14ac:dyDescent="0.2"/>
    <row r="1484" s="12" customFormat="1" x14ac:dyDescent="0.2"/>
    <row r="1485" s="12" customFormat="1" x14ac:dyDescent="0.2"/>
    <row r="1486" s="12" customFormat="1" x14ac:dyDescent="0.2"/>
    <row r="1487" s="12" customFormat="1" x14ac:dyDescent="0.2"/>
    <row r="1488" s="12" customFormat="1" x14ac:dyDescent="0.2"/>
    <row r="1489" s="12" customFormat="1" x14ac:dyDescent="0.2"/>
    <row r="1490" s="12" customFormat="1" x14ac:dyDescent="0.2"/>
    <row r="1491" s="12" customFormat="1" x14ac:dyDescent="0.2"/>
    <row r="1492" s="12" customFormat="1" x14ac:dyDescent="0.2"/>
    <row r="1493" s="12" customFormat="1" x14ac:dyDescent="0.2"/>
    <row r="1494" s="12" customFormat="1" x14ac:dyDescent="0.2"/>
    <row r="1495" s="12" customFormat="1" x14ac:dyDescent="0.2"/>
    <row r="1496" s="12" customFormat="1" x14ac:dyDescent="0.2"/>
    <row r="1497" s="12" customFormat="1" x14ac:dyDescent="0.2"/>
    <row r="1498" s="12" customFormat="1" x14ac:dyDescent="0.2"/>
    <row r="1499" s="12" customFormat="1" x14ac:dyDescent="0.2"/>
    <row r="1500" s="12" customFormat="1" x14ac:dyDescent="0.2"/>
    <row r="1501" s="12" customFormat="1" x14ac:dyDescent="0.2"/>
    <row r="1502" s="12" customFormat="1" x14ac:dyDescent="0.2"/>
    <row r="1503" s="12" customFormat="1" x14ac:dyDescent="0.2"/>
    <row r="1504" s="12" customFormat="1" x14ac:dyDescent="0.2"/>
    <row r="1505" s="12" customFormat="1" x14ac:dyDescent="0.2"/>
    <row r="1506" s="12" customFormat="1" x14ac:dyDescent="0.2"/>
    <row r="1507" s="12" customFormat="1" x14ac:dyDescent="0.2"/>
    <row r="1508" s="12" customFormat="1" x14ac:dyDescent="0.2"/>
    <row r="1509" s="12" customFormat="1" x14ac:dyDescent="0.2"/>
    <row r="1510" s="12" customFormat="1" x14ac:dyDescent="0.2"/>
    <row r="1511" s="12" customFormat="1" x14ac:dyDescent="0.2"/>
    <row r="1512" s="12" customFormat="1" x14ac:dyDescent="0.2"/>
    <row r="1513" s="12" customFormat="1" x14ac:dyDescent="0.2"/>
    <row r="1514" s="12" customFormat="1" x14ac:dyDescent="0.2"/>
    <row r="1515" s="12" customFormat="1" x14ac:dyDescent="0.2"/>
    <row r="1516" s="12" customFormat="1" x14ac:dyDescent="0.2"/>
    <row r="1517" s="12" customFormat="1" x14ac:dyDescent="0.2"/>
    <row r="1518" s="12" customFormat="1" x14ac:dyDescent="0.2"/>
    <row r="1519" s="12" customFormat="1" x14ac:dyDescent="0.2"/>
    <row r="1520" s="12" customFormat="1" x14ac:dyDescent="0.2"/>
    <row r="1521" s="12" customFormat="1" x14ac:dyDescent="0.2"/>
    <row r="1522" s="12" customFormat="1" x14ac:dyDescent="0.2"/>
    <row r="1523" s="12" customFormat="1" x14ac:dyDescent="0.2"/>
    <row r="1524" s="12" customFormat="1" x14ac:dyDescent="0.2"/>
    <row r="1525" s="12" customFormat="1" x14ac:dyDescent="0.2"/>
    <row r="1526" s="12" customFormat="1" x14ac:dyDescent="0.2"/>
    <row r="1527" s="12" customFormat="1" x14ac:dyDescent="0.2"/>
    <row r="1528" s="12" customFormat="1" x14ac:dyDescent="0.2"/>
    <row r="1529" s="12" customFormat="1" x14ac:dyDescent="0.2"/>
    <row r="1530" s="12" customFormat="1" x14ac:dyDescent="0.2"/>
    <row r="1531" s="12" customFormat="1" x14ac:dyDescent="0.2"/>
    <row r="1532" s="12" customFormat="1" x14ac:dyDescent="0.2"/>
    <row r="1533" s="12" customFormat="1" x14ac:dyDescent="0.2"/>
    <row r="1534" s="12" customFormat="1" x14ac:dyDescent="0.2"/>
    <row r="1535" s="12" customFormat="1" x14ac:dyDescent="0.2"/>
    <row r="1536" s="12" customFormat="1" x14ac:dyDescent="0.2"/>
    <row r="1537" s="12" customFormat="1" x14ac:dyDescent="0.2"/>
    <row r="1538" s="12" customFormat="1" x14ac:dyDescent="0.2"/>
    <row r="1539" s="12" customFormat="1" x14ac:dyDescent="0.2"/>
    <row r="1540" s="12" customFormat="1" x14ac:dyDescent="0.2"/>
    <row r="1541" s="12" customFormat="1" x14ac:dyDescent="0.2"/>
    <row r="1542" s="12" customFormat="1" x14ac:dyDescent="0.2"/>
    <row r="1543" s="12" customFormat="1" x14ac:dyDescent="0.2"/>
    <row r="1544" s="12" customFormat="1" x14ac:dyDescent="0.2"/>
    <row r="1545" s="12" customFormat="1" x14ac:dyDescent="0.2"/>
    <row r="1546" s="12" customFormat="1" x14ac:dyDescent="0.2"/>
    <row r="1547" s="12" customFormat="1" x14ac:dyDescent="0.2"/>
    <row r="1548" s="12" customFormat="1" x14ac:dyDescent="0.2"/>
    <row r="1549" s="12" customFormat="1" x14ac:dyDescent="0.2"/>
    <row r="1550" s="12" customFormat="1" x14ac:dyDescent="0.2"/>
    <row r="1551" s="12" customFormat="1" x14ac:dyDescent="0.2"/>
    <row r="1552" s="12" customFormat="1" x14ac:dyDescent="0.2"/>
    <row r="1553" s="12" customFormat="1" x14ac:dyDescent="0.2"/>
    <row r="1554" s="12" customFormat="1" x14ac:dyDescent="0.2"/>
    <row r="1555" s="12" customFormat="1" x14ac:dyDescent="0.2"/>
    <row r="1556" s="12" customFormat="1" x14ac:dyDescent="0.2"/>
    <row r="1557" s="12" customFormat="1" x14ac:dyDescent="0.2"/>
    <row r="1558" s="12" customFormat="1" x14ac:dyDescent="0.2"/>
    <row r="1559" s="12" customFormat="1" x14ac:dyDescent="0.2"/>
    <row r="1560" s="12" customFormat="1" x14ac:dyDescent="0.2"/>
    <row r="1561" s="12" customFormat="1" x14ac:dyDescent="0.2"/>
    <row r="1562" s="12" customFormat="1" x14ac:dyDescent="0.2"/>
    <row r="1563" s="12" customFormat="1" x14ac:dyDescent="0.2"/>
    <row r="1564" s="12" customFormat="1" x14ac:dyDescent="0.2"/>
    <row r="1565" s="12" customFormat="1" x14ac:dyDescent="0.2"/>
    <row r="1566" s="12" customFormat="1" x14ac:dyDescent="0.2"/>
    <row r="1567" s="12" customFormat="1" x14ac:dyDescent="0.2"/>
    <row r="1568" s="12" customFormat="1" x14ac:dyDescent="0.2"/>
    <row r="1569" s="12" customFormat="1" x14ac:dyDescent="0.2"/>
    <row r="1570" s="12" customFormat="1" x14ac:dyDescent="0.2"/>
    <row r="1571" s="12" customFormat="1" x14ac:dyDescent="0.2"/>
    <row r="1572" s="12" customFormat="1" x14ac:dyDescent="0.2"/>
    <row r="1573" s="12" customFormat="1" x14ac:dyDescent="0.2"/>
    <row r="1574" s="12" customFormat="1" x14ac:dyDescent="0.2"/>
    <row r="1575" s="12" customFormat="1" x14ac:dyDescent="0.2"/>
    <row r="1576" s="12" customFormat="1" x14ac:dyDescent="0.2"/>
    <row r="1577" s="12" customFormat="1" x14ac:dyDescent="0.2"/>
    <row r="1578" s="12" customFormat="1" x14ac:dyDescent="0.2"/>
    <row r="1579" s="12" customFormat="1" x14ac:dyDescent="0.2"/>
    <row r="1580" s="12" customFormat="1" x14ac:dyDescent="0.2"/>
    <row r="1581" s="12" customFormat="1" x14ac:dyDescent="0.2"/>
    <row r="1582" s="12" customFormat="1" x14ac:dyDescent="0.2"/>
    <row r="1583" s="12" customFormat="1" x14ac:dyDescent="0.2"/>
    <row r="1584" s="12" customFormat="1" x14ac:dyDescent="0.2"/>
    <row r="1585" s="12" customFormat="1" x14ac:dyDescent="0.2"/>
    <row r="1586" s="12" customFormat="1" x14ac:dyDescent="0.2"/>
    <row r="1587" s="12" customFormat="1" x14ac:dyDescent="0.2"/>
    <row r="1588" s="12" customFormat="1" x14ac:dyDescent="0.2"/>
    <row r="1589" s="12" customFormat="1" x14ac:dyDescent="0.2"/>
    <row r="1590" s="12" customFormat="1" x14ac:dyDescent="0.2"/>
    <row r="1591" s="12" customFormat="1" x14ac:dyDescent="0.2"/>
    <row r="1592" s="12" customFormat="1" x14ac:dyDescent="0.2"/>
    <row r="1593" s="12" customFormat="1" x14ac:dyDescent="0.2"/>
    <row r="1594" s="12" customFormat="1" x14ac:dyDescent="0.2"/>
    <row r="1595" s="12" customFormat="1" x14ac:dyDescent="0.2"/>
    <row r="1596" s="12" customFormat="1" x14ac:dyDescent="0.2"/>
    <row r="1597" s="12" customFormat="1" x14ac:dyDescent="0.2"/>
    <row r="1598" s="12" customFormat="1" x14ac:dyDescent="0.2"/>
    <row r="1599" s="12" customFormat="1" x14ac:dyDescent="0.2"/>
    <row r="1600" s="12" customFormat="1" x14ac:dyDescent="0.2"/>
    <row r="1601" s="12" customFormat="1" x14ac:dyDescent="0.2"/>
    <row r="1602" s="12" customFormat="1" x14ac:dyDescent="0.2"/>
    <row r="1603" s="12" customFormat="1" x14ac:dyDescent="0.2"/>
    <row r="1604" s="12" customFormat="1" x14ac:dyDescent="0.2"/>
    <row r="1605" s="12" customFormat="1" x14ac:dyDescent="0.2"/>
    <row r="1606" s="12" customFormat="1" x14ac:dyDescent="0.2"/>
    <row r="1607" s="12" customFormat="1" x14ac:dyDescent="0.2"/>
    <row r="1608" s="12" customFormat="1" x14ac:dyDescent="0.2"/>
    <row r="1609" s="12" customFormat="1" x14ac:dyDescent="0.2"/>
    <row r="1610" s="12" customFormat="1" x14ac:dyDescent="0.2"/>
    <row r="1611" s="12" customFormat="1" x14ac:dyDescent="0.2"/>
    <row r="1612" s="12" customFormat="1" x14ac:dyDescent="0.2"/>
    <row r="1613" s="12" customFormat="1" x14ac:dyDescent="0.2"/>
    <row r="1614" s="12" customFormat="1" x14ac:dyDescent="0.2"/>
    <row r="1615" s="12" customFormat="1" x14ac:dyDescent="0.2"/>
    <row r="1616" s="12" customFormat="1" x14ac:dyDescent="0.2"/>
    <row r="1617" s="12" customFormat="1" x14ac:dyDescent="0.2"/>
    <row r="1618" s="12" customFormat="1" x14ac:dyDescent="0.2"/>
    <row r="1619" s="12" customFormat="1" x14ac:dyDescent="0.2"/>
    <row r="1620" s="12" customFormat="1" x14ac:dyDescent="0.2"/>
    <row r="1621" s="12" customFormat="1" x14ac:dyDescent="0.2"/>
    <row r="1622" s="12" customFormat="1" x14ac:dyDescent="0.2"/>
    <row r="1623" s="12" customFormat="1" x14ac:dyDescent="0.2"/>
    <row r="1624" s="12" customFormat="1" x14ac:dyDescent="0.2"/>
    <row r="1625" s="12" customFormat="1" x14ac:dyDescent="0.2"/>
    <row r="1626" s="12" customFormat="1" x14ac:dyDescent="0.2"/>
    <row r="1627" s="12" customFormat="1" x14ac:dyDescent="0.2"/>
    <row r="1628" s="12" customFormat="1" x14ac:dyDescent="0.2"/>
    <row r="1629" s="12" customFormat="1" x14ac:dyDescent="0.2"/>
    <row r="1630" s="12" customFormat="1" x14ac:dyDescent="0.2"/>
    <row r="1631" s="12" customFormat="1" x14ac:dyDescent="0.2"/>
    <row r="1632" s="12" customFormat="1" x14ac:dyDescent="0.2"/>
    <row r="1633" s="12" customFormat="1" x14ac:dyDescent="0.2"/>
    <row r="1634" s="12" customFormat="1" x14ac:dyDescent="0.2"/>
    <row r="1635" s="12" customFormat="1" x14ac:dyDescent="0.2"/>
    <row r="1636" s="12" customFormat="1" x14ac:dyDescent="0.2"/>
    <row r="1637" s="12" customFormat="1" x14ac:dyDescent="0.2"/>
    <row r="1638" s="12" customFormat="1" x14ac:dyDescent="0.2"/>
    <row r="1639" s="12" customFormat="1" x14ac:dyDescent="0.2"/>
    <row r="1640" s="12" customFormat="1" x14ac:dyDescent="0.2"/>
    <row r="1641" s="12" customFormat="1" x14ac:dyDescent="0.2"/>
    <row r="1642" s="12" customFormat="1" x14ac:dyDescent="0.2"/>
    <row r="1643" s="12" customFormat="1" x14ac:dyDescent="0.2"/>
    <row r="1644" s="12" customFormat="1" x14ac:dyDescent="0.2"/>
    <row r="1645" s="12" customFormat="1" x14ac:dyDescent="0.2"/>
    <row r="1646" s="12" customFormat="1" x14ac:dyDescent="0.2"/>
    <row r="1647" s="12" customFormat="1" x14ac:dyDescent="0.2"/>
    <row r="1648" s="12" customFormat="1" x14ac:dyDescent="0.2"/>
    <row r="1649" s="12" customFormat="1" x14ac:dyDescent="0.2"/>
    <row r="1650" s="12" customFormat="1" x14ac:dyDescent="0.2"/>
    <row r="1651" s="12" customFormat="1" x14ac:dyDescent="0.2"/>
    <row r="1652" s="12" customFormat="1" x14ac:dyDescent="0.2"/>
    <row r="1653" s="12" customFormat="1" x14ac:dyDescent="0.2"/>
    <row r="1654" s="12" customFormat="1" x14ac:dyDescent="0.2"/>
    <row r="1655" s="12" customFormat="1" x14ac:dyDescent="0.2"/>
    <row r="1656" s="12" customFormat="1" x14ac:dyDescent="0.2"/>
    <row r="1657" s="12" customFormat="1" x14ac:dyDescent="0.2"/>
    <row r="1658" s="12" customFormat="1" x14ac:dyDescent="0.2"/>
    <row r="1659" s="12" customFormat="1" x14ac:dyDescent="0.2"/>
    <row r="1660" s="12" customFormat="1" x14ac:dyDescent="0.2"/>
    <row r="1661" s="12" customFormat="1" x14ac:dyDescent="0.2"/>
    <row r="1662" s="12" customFormat="1" x14ac:dyDescent="0.2"/>
    <row r="1663" s="12" customFormat="1" x14ac:dyDescent="0.2"/>
    <row r="1664" s="12" customFormat="1" x14ac:dyDescent="0.2"/>
    <row r="1665" s="12" customFormat="1" x14ac:dyDescent="0.2"/>
    <row r="1666" s="12" customFormat="1" x14ac:dyDescent="0.2"/>
    <row r="1667" s="12" customFormat="1" x14ac:dyDescent="0.2"/>
    <row r="1668" s="12" customFormat="1" x14ac:dyDescent="0.2"/>
    <row r="1669" s="12" customFormat="1" x14ac:dyDescent="0.2"/>
    <row r="1670" s="12" customFormat="1" x14ac:dyDescent="0.2"/>
    <row r="1671" s="12" customFormat="1" x14ac:dyDescent="0.2"/>
    <row r="1672" s="12" customFormat="1" x14ac:dyDescent="0.2"/>
    <row r="1673" s="12" customFormat="1" x14ac:dyDescent="0.2"/>
    <row r="1674" s="12" customFormat="1" x14ac:dyDescent="0.2"/>
    <row r="1675" s="12" customFormat="1" x14ac:dyDescent="0.2"/>
    <row r="1676" s="12" customFormat="1" x14ac:dyDescent="0.2"/>
    <row r="1677" s="12" customFormat="1" x14ac:dyDescent="0.2"/>
    <row r="1678" s="12" customFormat="1" x14ac:dyDescent="0.2"/>
    <row r="1679" s="12" customFormat="1" x14ac:dyDescent="0.2"/>
    <row r="1680" s="12" customFormat="1" x14ac:dyDescent="0.2"/>
    <row r="1681" s="12" customFormat="1" x14ac:dyDescent="0.2"/>
    <row r="1682" s="12" customFormat="1" x14ac:dyDescent="0.2"/>
    <row r="1683" s="12" customFormat="1" x14ac:dyDescent="0.2"/>
    <row r="1684" s="12" customFormat="1" x14ac:dyDescent="0.2"/>
    <row r="1685" s="12" customFormat="1" x14ac:dyDescent="0.2"/>
    <row r="1686" s="12" customFormat="1" x14ac:dyDescent="0.2"/>
    <row r="1687" s="12" customFormat="1" x14ac:dyDescent="0.2"/>
    <row r="1688" s="12" customFormat="1" x14ac:dyDescent="0.2"/>
    <row r="1689" s="12" customFormat="1" x14ac:dyDescent="0.2"/>
    <row r="1690" s="12" customFormat="1" x14ac:dyDescent="0.2"/>
    <row r="1691" s="12" customFormat="1" x14ac:dyDescent="0.2"/>
    <row r="1692" s="12" customFormat="1" x14ac:dyDescent="0.2"/>
    <row r="1693" s="12" customFormat="1" x14ac:dyDescent="0.2"/>
    <row r="1694" s="12" customFormat="1" x14ac:dyDescent="0.2"/>
    <row r="1695" s="12" customFormat="1" x14ac:dyDescent="0.2"/>
    <row r="1696" s="12" customFormat="1" x14ac:dyDescent="0.2"/>
    <row r="1697" s="12" customFormat="1" x14ac:dyDescent="0.2"/>
    <row r="1698" s="12" customFormat="1" x14ac:dyDescent="0.2"/>
    <row r="1699" s="12" customFormat="1" x14ac:dyDescent="0.2"/>
    <row r="1700" s="12" customFormat="1" x14ac:dyDescent="0.2"/>
    <row r="1701" s="12" customFormat="1" x14ac:dyDescent="0.2"/>
    <row r="1702" s="12" customFormat="1" x14ac:dyDescent="0.2"/>
    <row r="1703" s="12" customFormat="1" x14ac:dyDescent="0.2"/>
    <row r="1704" s="12" customFormat="1" x14ac:dyDescent="0.2"/>
    <row r="1705" s="12" customFormat="1" x14ac:dyDescent="0.2"/>
    <row r="1706" s="12" customFormat="1" x14ac:dyDescent="0.2"/>
    <row r="1707" s="12" customFormat="1" x14ac:dyDescent="0.2"/>
    <row r="1708" s="12" customFormat="1" x14ac:dyDescent="0.2"/>
    <row r="1709" s="12" customFormat="1" x14ac:dyDescent="0.2"/>
    <row r="1710" s="12" customFormat="1" x14ac:dyDescent="0.2"/>
    <row r="1711" s="12" customFormat="1" x14ac:dyDescent="0.2"/>
    <row r="1712" s="12" customFormat="1" x14ac:dyDescent="0.2"/>
    <row r="1713" s="12" customFormat="1" x14ac:dyDescent="0.2"/>
    <row r="1714" s="12" customFormat="1" x14ac:dyDescent="0.2"/>
    <row r="1715" s="12" customFormat="1" x14ac:dyDescent="0.2"/>
    <row r="1716" s="12" customFormat="1" x14ac:dyDescent="0.2"/>
    <row r="1717" s="12" customFormat="1" x14ac:dyDescent="0.2"/>
    <row r="1718" s="12" customFormat="1" x14ac:dyDescent="0.2"/>
    <row r="1719" s="12" customFormat="1" x14ac:dyDescent="0.2"/>
    <row r="1720" s="12" customFormat="1" x14ac:dyDescent="0.2"/>
    <row r="1721" s="12" customFormat="1" x14ac:dyDescent="0.2"/>
    <row r="1722" s="12" customFormat="1" x14ac:dyDescent="0.2"/>
    <row r="1723" s="12" customFormat="1" x14ac:dyDescent="0.2"/>
    <row r="1724" s="12" customFormat="1" x14ac:dyDescent="0.2"/>
    <row r="1725" s="12" customFormat="1" x14ac:dyDescent="0.2"/>
    <row r="1726" s="12" customFormat="1" x14ac:dyDescent="0.2"/>
    <row r="1727" s="12" customFormat="1" x14ac:dyDescent="0.2"/>
    <row r="1728" s="12" customFormat="1" x14ac:dyDescent="0.2"/>
    <row r="1729" s="12" customFormat="1" x14ac:dyDescent="0.2"/>
    <row r="1730" s="12" customFormat="1" x14ac:dyDescent="0.2"/>
    <row r="1731" s="12" customFormat="1" x14ac:dyDescent="0.2"/>
    <row r="1732" s="12" customFormat="1" x14ac:dyDescent="0.2"/>
    <row r="1733" s="12" customFormat="1" x14ac:dyDescent="0.2"/>
    <row r="1734" s="12" customFormat="1" x14ac:dyDescent="0.2"/>
    <row r="1735" s="12" customFormat="1" x14ac:dyDescent="0.2"/>
    <row r="1736" s="12" customFormat="1" x14ac:dyDescent="0.2"/>
    <row r="1737" s="12" customFormat="1" x14ac:dyDescent="0.2"/>
    <row r="1738" s="12" customFormat="1" x14ac:dyDescent="0.2"/>
    <row r="1739" s="12" customFormat="1" x14ac:dyDescent="0.2"/>
    <row r="1740" s="12" customFormat="1" x14ac:dyDescent="0.2"/>
    <row r="1741" s="12" customFormat="1" x14ac:dyDescent="0.2"/>
    <row r="1742" s="12" customFormat="1" x14ac:dyDescent="0.2"/>
    <row r="1743" s="12" customFormat="1" x14ac:dyDescent="0.2"/>
    <row r="1744" s="12" customFormat="1" x14ac:dyDescent="0.2"/>
    <row r="1745" s="12" customFormat="1" x14ac:dyDescent="0.2"/>
    <row r="1746" s="12" customFormat="1" x14ac:dyDescent="0.2"/>
    <row r="1747" s="12" customFormat="1" x14ac:dyDescent="0.2"/>
    <row r="1748" s="12" customFormat="1" x14ac:dyDescent="0.2"/>
    <row r="1749" s="12" customFormat="1" x14ac:dyDescent="0.2"/>
    <row r="1750" s="12" customFormat="1" x14ac:dyDescent="0.2"/>
    <row r="1751" s="12" customFormat="1" x14ac:dyDescent="0.2"/>
    <row r="1752" s="12" customFormat="1" x14ac:dyDescent="0.2"/>
    <row r="1753" s="12" customFormat="1" x14ac:dyDescent="0.2"/>
  </sheetData>
  <autoFilter ref="A2:Q71" xr:uid="{00000000-0009-0000-0000-000000000000}"/>
  <mergeCells count="2">
    <mergeCell ref="A1:Q1"/>
    <mergeCell ref="R1:W1"/>
  </mergeCells>
  <conditionalFormatting sqref="N3:Q34 H3:I71">
    <cfRule type="cellIs" dxfId="1" priority="1" operator="greaterThan">
      <formula>#REF!</formula>
    </cfRule>
    <cfRule type="cellIs" dxfId="0" priority="2" operator="lessThan">
      <formula>#REF!</formula>
    </cfRule>
  </conditionalFormatting>
  <pageMargins left="0.7" right="0.7" top="0.75" bottom="0.75" header="0.3" footer="0.3"/>
  <pageSetup paperSize="9" orientation="portrait" horizontalDpi="4294967293" r:id="rId1"/>
  <headerFooter>
    <oddHeader>&amp;C&amp;"Calibri"&amp;10&amp;K0000FF Information Classification: Internal&amp;1#_x000D_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21CB5-E5D2-43AC-844E-862545AF2D5B}">
  <dimension ref="A1:AM57"/>
  <sheetViews>
    <sheetView topLeftCell="A15" workbookViewId="0">
      <selection activeCell="A19" sqref="A19:A57"/>
    </sheetView>
  </sheetViews>
  <sheetFormatPr baseColWidth="10" defaultColWidth="8.83203125" defaultRowHeight="15" x14ac:dyDescent="0.2"/>
  <cols>
    <col min="1" max="1" width="39.33203125" customWidth="1"/>
  </cols>
  <sheetData>
    <row r="1" spans="1:39" s="25" customFormat="1" ht="65" x14ac:dyDescent="0.2">
      <c r="A1" s="5" t="s">
        <v>94</v>
      </c>
      <c r="B1" s="5" t="s">
        <v>95</v>
      </c>
      <c r="C1" s="28" t="s">
        <v>96</v>
      </c>
      <c r="D1" s="5" t="s">
        <v>97</v>
      </c>
      <c r="E1" s="28" t="s">
        <v>98</v>
      </c>
      <c r="F1" s="5" t="s">
        <v>99</v>
      </c>
      <c r="G1" s="5" t="s">
        <v>100</v>
      </c>
      <c r="H1" s="5" t="s">
        <v>101</v>
      </c>
      <c r="I1" s="5" t="s">
        <v>102</v>
      </c>
      <c r="J1" s="5" t="s">
        <v>103</v>
      </c>
      <c r="K1" s="5" t="s">
        <v>104</v>
      </c>
      <c r="L1" s="5" t="s">
        <v>105</v>
      </c>
      <c r="M1" s="5" t="s">
        <v>106</v>
      </c>
      <c r="N1" s="5" t="s">
        <v>107</v>
      </c>
      <c r="O1" s="28" t="s">
        <v>108</v>
      </c>
      <c r="P1" s="28" t="s">
        <v>109</v>
      </c>
      <c r="Q1" s="28" t="s">
        <v>110</v>
      </c>
      <c r="R1" s="28" t="s">
        <v>111</v>
      </c>
      <c r="S1" s="28" t="s">
        <v>112</v>
      </c>
      <c r="T1" s="28" t="s">
        <v>113</v>
      </c>
      <c r="U1" s="5" t="s">
        <v>114</v>
      </c>
      <c r="V1" s="5" t="s">
        <v>115</v>
      </c>
      <c r="W1" s="5" t="s">
        <v>116</v>
      </c>
      <c r="X1" s="5" t="s">
        <v>117</v>
      </c>
      <c r="Y1" s="5" t="s">
        <v>118</v>
      </c>
      <c r="Z1" s="5" t="s">
        <v>119</v>
      </c>
      <c r="AA1" s="5" t="s">
        <v>120</v>
      </c>
      <c r="AB1" s="5" t="s">
        <v>121</v>
      </c>
      <c r="AC1" s="28" t="s">
        <v>122</v>
      </c>
      <c r="AD1" s="5" t="s">
        <v>123</v>
      </c>
      <c r="AE1" s="5" t="s">
        <v>124</v>
      </c>
      <c r="AF1" s="5" t="s">
        <v>125</v>
      </c>
      <c r="AG1" s="5" t="s">
        <v>126</v>
      </c>
      <c r="AH1" s="28" t="s">
        <v>127</v>
      </c>
      <c r="AI1" s="28" t="s">
        <v>128</v>
      </c>
      <c r="AJ1" s="28" t="s">
        <v>129</v>
      </c>
      <c r="AK1" s="28" t="s">
        <v>130</v>
      </c>
      <c r="AL1" s="28" t="s">
        <v>131</v>
      </c>
      <c r="AM1" s="28" t="s">
        <v>132</v>
      </c>
    </row>
    <row r="2" spans="1:39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</row>
    <row r="3" spans="1:39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spans="1:39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</row>
    <row r="5" spans="1:39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spans="1:39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</row>
    <row r="7" spans="1:39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</row>
    <row r="8" spans="1:39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</row>
    <row r="9" spans="1:39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</row>
    <row r="10" spans="1:39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</row>
    <row r="11" spans="1:39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</row>
    <row r="12" spans="1:39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</row>
    <row r="13" spans="1:39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</row>
    <row r="14" spans="1:39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</row>
    <row r="19" spans="1:1" x14ac:dyDescent="0.2">
      <c r="A19" t="str" cm="1">
        <f t="array" ref="A19:A57">TRANSPOSE(A1:AM1)</f>
        <v>Ticket No.</v>
      </c>
    </row>
    <row r="20" spans="1:1" x14ac:dyDescent="0.2">
      <c r="A20" t="str">
        <v>Ticket Raiseed By</v>
      </c>
    </row>
    <row r="21" spans="1:1" x14ac:dyDescent="0.2">
      <c r="A21" s="59" t="str">
        <v>Category ()</v>
      </c>
    </row>
    <row r="22" spans="1:1" x14ac:dyDescent="0.2">
      <c r="A22" t="str">
        <v>Ticket Description</v>
      </c>
    </row>
    <row r="23" spans="1:1" x14ac:dyDescent="0.2">
      <c r="A23" s="59" t="str">
        <v>Ticket Type
(Incident/Service Request)</v>
      </c>
    </row>
    <row r="24" spans="1:1" x14ac:dyDescent="0.2">
      <c r="A24" t="str">
        <v>Ticket Assigned To</v>
      </c>
    </row>
    <row r="25" spans="1:1" x14ac:dyDescent="0.2">
      <c r="A25" t="str">
        <v xml:space="preserve">Ticket Severity
(S1,S2,S3,) </v>
      </c>
    </row>
    <row r="26" spans="1:1" x14ac:dyDescent="0.2">
      <c r="A26" t="str">
        <v>Business Urgency</v>
      </c>
    </row>
    <row r="27" spans="1:1" x14ac:dyDescent="0.2">
      <c r="A27" t="str">
        <v xml:space="preserve">Priority (P1,P2,P3) </v>
      </c>
    </row>
    <row r="28" spans="1:1" x14ac:dyDescent="0.2">
      <c r="A28" t="str">
        <v>Ticket Resolved by</v>
      </c>
    </row>
    <row r="29" spans="1:1" x14ac:dyDescent="0.2">
      <c r="A29" t="str">
        <v>Status</v>
      </c>
    </row>
    <row r="30" spans="1:1" x14ac:dyDescent="0.2">
      <c r="A30" t="str">
        <v>Ticket Log Date &amp; Time
(DD-MM-YYYY HH:MM:SS)</v>
      </c>
    </row>
    <row r="31" spans="1:1" x14ac:dyDescent="0.2">
      <c r="A31" t="str">
        <v>Response Date &amp; Time
(DD-MM-YYYY HH:MM:SS)</v>
      </c>
    </row>
    <row r="32" spans="1:1" x14ac:dyDescent="0.2">
      <c r="A32" t="str">
        <v>Time Taken To Respond The Ticket (HH:MM:SS)</v>
      </c>
    </row>
    <row r="33" spans="1:1" x14ac:dyDescent="0.2">
      <c r="A33" t="str">
        <v xml:space="preserve">Target OLA for L1 </v>
      </c>
    </row>
    <row r="34" spans="1:1" x14ac:dyDescent="0.2">
      <c r="A34" t="str">
        <v xml:space="preserve">Actual OLA achieved L1 </v>
      </c>
    </row>
    <row r="35" spans="1:1" x14ac:dyDescent="0.2">
      <c r="A35" s="59" t="str">
        <v>Target OLA for L2 (If applicable)</v>
      </c>
    </row>
    <row r="36" spans="1:1" x14ac:dyDescent="0.2">
      <c r="A36" s="59" t="str">
        <v>Actual OLA achieved L2 (If applicable)</v>
      </c>
    </row>
    <row r="37" spans="1:1" x14ac:dyDescent="0.2">
      <c r="A37" s="59" t="str">
        <v>Target OLA for L3(If applicable)</v>
      </c>
    </row>
    <row r="38" spans="1:1" x14ac:dyDescent="0.2">
      <c r="A38" s="59" t="str">
        <v>Actual OLA achieved L3(If Applicable)</v>
      </c>
    </row>
    <row r="39" spans="1:1" x14ac:dyDescent="0.2">
      <c r="A39" t="str">
        <v>Target Response SLA</v>
      </c>
    </row>
    <row r="40" spans="1:1" x14ac:dyDescent="0.2">
      <c r="A40" t="str">
        <v>Response SLA Achieved or not</v>
      </c>
    </row>
    <row r="41" spans="1:1" x14ac:dyDescent="0.2">
      <c r="A41" t="str">
        <v>Resolution Date &amp; Time
(DD-MM-YYYY HH:MM:SS)</v>
      </c>
    </row>
    <row r="42" spans="1:1" x14ac:dyDescent="0.2">
      <c r="A42" t="str">
        <v>Total Time Taken For Resolution (HH:MM:SS)</v>
      </c>
    </row>
    <row r="43" spans="1:1" x14ac:dyDescent="0.2">
      <c r="A43" t="str">
        <v>Target Resolution SLA</v>
      </c>
    </row>
    <row r="44" spans="1:1" x14ac:dyDescent="0.2">
      <c r="A44" t="str">
        <v>Resolution SLA Achieved or Not</v>
      </c>
    </row>
    <row r="45" spans="1:1" x14ac:dyDescent="0.2">
      <c r="A45" t="str">
        <v>Route Cause for SLA Breach</v>
      </c>
    </row>
    <row r="46" spans="1:1" x14ac:dyDescent="0.2">
      <c r="A46" t="str">
        <v>Level Of Support - (L1/L2/L3)</v>
      </c>
    </row>
    <row r="47" spans="1:1" x14ac:dyDescent="0.2">
      <c r="A47" s="59" t="str">
        <v>Ticket Checked Before Delivey
(YES/NO)</v>
      </c>
    </row>
    <row r="48" spans="1:1" x14ac:dyDescent="0.2">
      <c r="A48" t="str">
        <v>Ticket Checked Time (DD-MM-YYYY HH:MM:SS)</v>
      </c>
    </row>
    <row r="49" spans="1:1" x14ac:dyDescent="0.2">
      <c r="A49" t="str">
        <v>Week</v>
      </c>
    </row>
    <row r="50" spans="1:1" x14ac:dyDescent="0.2">
      <c r="A50" t="str">
        <v>Response Time (Min)</v>
      </c>
    </row>
    <row r="51" spans="1:1" x14ac:dyDescent="0.2">
      <c r="A51" t="str">
        <v>Resolution Time (Min)</v>
      </c>
    </row>
    <row r="52" spans="1:1" x14ac:dyDescent="0.2">
      <c r="A52" s="59" t="str">
        <v>KEDB REFFERED
(YES/NO)</v>
      </c>
    </row>
    <row r="53" spans="1:1" x14ac:dyDescent="0.2">
      <c r="A53" s="59" t="str">
        <v>KEDB UPDATED (YES/NO)</v>
      </c>
    </row>
    <row r="54" spans="1:1" x14ac:dyDescent="0.2">
      <c r="A54" s="59" t="str">
        <v>KEDB LINK</v>
      </c>
    </row>
    <row r="55" spans="1:1" x14ac:dyDescent="0.2">
      <c r="A55" s="59" t="str">
        <v>FTP
(Yes / No)</v>
      </c>
    </row>
    <row r="56" spans="1:1" x14ac:dyDescent="0.2">
      <c r="A56" s="59" t="str">
        <v>Repetative Ticket 
(YES/NO)</v>
      </c>
    </row>
    <row r="57" spans="1:1" x14ac:dyDescent="0.2">
      <c r="A57" s="59" t="str">
        <v>Reopen Ticket 
(YES/NO)</v>
      </c>
    </row>
  </sheetData>
  <pageMargins left="0.7" right="0.7" top="0.75" bottom="0.75" header="0.3" footer="0.3"/>
  <headerFooter>
    <oddHeader>&amp;C&amp;"Calibri"&amp;10&amp;K0000FF Information Classification: Internal&amp;1#_x000D_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5EF0C-CEB3-E14A-B8CA-78149D0A64D7}">
  <dimension ref="A1:C24"/>
  <sheetViews>
    <sheetView tabSelected="1" workbookViewId="0">
      <selection sqref="A1:C1"/>
    </sheetView>
  </sheetViews>
  <sheetFormatPr baseColWidth="10" defaultColWidth="39.1640625" defaultRowHeight="16" x14ac:dyDescent="0.2"/>
  <cols>
    <col min="1" max="16384" width="39.1640625" style="62"/>
  </cols>
  <sheetData>
    <row r="1" spans="1:3" x14ac:dyDescent="0.2">
      <c r="A1" s="67" t="s">
        <v>29</v>
      </c>
      <c r="B1" s="67" t="s">
        <v>169</v>
      </c>
      <c r="C1" s="67" t="s">
        <v>168</v>
      </c>
    </row>
    <row r="2" spans="1:3" x14ac:dyDescent="0.2">
      <c r="A2" s="63" t="s">
        <v>14</v>
      </c>
      <c r="B2" s="66"/>
      <c r="C2" s="66"/>
    </row>
    <row r="3" spans="1:3" x14ac:dyDescent="0.2">
      <c r="A3" s="63" t="s">
        <v>15</v>
      </c>
      <c r="B3" s="66"/>
      <c r="C3" s="66"/>
    </row>
    <row r="4" spans="1:3" x14ac:dyDescent="0.2">
      <c r="A4" s="63" t="s">
        <v>63</v>
      </c>
      <c r="B4" s="66"/>
      <c r="C4" s="66"/>
    </row>
    <row r="5" spans="1:3" x14ac:dyDescent="0.2">
      <c r="A5" s="63" t="s">
        <v>76</v>
      </c>
      <c r="B5" s="66"/>
      <c r="C5" s="66"/>
    </row>
    <row r="6" spans="1:3" x14ac:dyDescent="0.2">
      <c r="A6" s="63" t="s">
        <v>77</v>
      </c>
      <c r="B6" s="66"/>
      <c r="C6" s="66"/>
    </row>
    <row r="7" spans="1:3" x14ac:dyDescent="0.2">
      <c r="A7" s="64" t="s">
        <v>167</v>
      </c>
      <c r="B7" s="66"/>
      <c r="C7" s="66"/>
    </row>
    <row r="8" spans="1:3" x14ac:dyDescent="0.2">
      <c r="A8" s="63" t="s">
        <v>79</v>
      </c>
      <c r="B8" s="66"/>
      <c r="C8" s="66"/>
    </row>
    <row r="9" spans="1:3" x14ac:dyDescent="0.2">
      <c r="A9" s="63" t="s">
        <v>80</v>
      </c>
      <c r="B9" s="66"/>
      <c r="C9" s="66"/>
    </row>
    <row r="10" spans="1:3" x14ac:dyDescent="0.2">
      <c r="A10" s="63" t="s">
        <v>81</v>
      </c>
      <c r="B10" s="66"/>
      <c r="C10" s="66"/>
    </row>
    <row r="11" spans="1:3" x14ac:dyDescent="0.2">
      <c r="A11" s="63" t="s">
        <v>82</v>
      </c>
      <c r="B11" s="66"/>
      <c r="C11" s="66"/>
    </row>
    <row r="12" spans="1:3" x14ac:dyDescent="0.2">
      <c r="A12" s="63" t="s">
        <v>83</v>
      </c>
      <c r="B12" s="66"/>
      <c r="C12" s="66"/>
    </row>
    <row r="13" spans="1:3" x14ac:dyDescent="0.2">
      <c r="A13" s="63" t="s">
        <v>84</v>
      </c>
      <c r="B13" s="66"/>
      <c r="C13" s="66"/>
    </row>
    <row r="14" spans="1:3" x14ac:dyDescent="0.2">
      <c r="A14" s="63" t="s">
        <v>85</v>
      </c>
      <c r="B14" s="66"/>
      <c r="C14" s="66"/>
    </row>
    <row r="15" spans="1:3" x14ac:dyDescent="0.2">
      <c r="A15" s="63" t="s">
        <v>86</v>
      </c>
      <c r="B15" s="66"/>
      <c r="C15" s="66"/>
    </row>
    <row r="16" spans="1:3" x14ac:dyDescent="0.2">
      <c r="A16" s="63" t="s">
        <v>87</v>
      </c>
      <c r="B16" s="66"/>
      <c r="C16" s="66"/>
    </row>
    <row r="17" spans="1:3" x14ac:dyDescent="0.2">
      <c r="A17" s="63" t="s">
        <v>88</v>
      </c>
      <c r="B17" s="66"/>
      <c r="C17" s="66"/>
    </row>
    <row r="18" spans="1:3" x14ac:dyDescent="0.2">
      <c r="A18" s="63" t="s">
        <v>89</v>
      </c>
      <c r="B18" s="66"/>
      <c r="C18" s="66"/>
    </row>
    <row r="19" spans="1:3" x14ac:dyDescent="0.2">
      <c r="A19" s="65" t="s">
        <v>90</v>
      </c>
      <c r="B19" s="66"/>
      <c r="C19" s="66"/>
    </row>
    <row r="20" spans="1:3" x14ac:dyDescent="0.2">
      <c r="A20" s="65" t="s">
        <v>91</v>
      </c>
      <c r="B20" s="66"/>
      <c r="C20" s="66"/>
    </row>
    <row r="21" spans="1:3" x14ac:dyDescent="0.2">
      <c r="A21" s="65" t="s">
        <v>92</v>
      </c>
      <c r="B21" s="66"/>
      <c r="C21" s="66"/>
    </row>
    <row r="22" spans="1:3" x14ac:dyDescent="0.2">
      <c r="A22" s="65" t="s">
        <v>93</v>
      </c>
      <c r="B22" s="66"/>
      <c r="C22" s="66"/>
    </row>
    <row r="23" spans="1:3" x14ac:dyDescent="0.2">
      <c r="A23" s="65" t="s">
        <v>165</v>
      </c>
      <c r="B23" s="66"/>
      <c r="C23" s="66"/>
    </row>
    <row r="24" spans="1:3" x14ac:dyDescent="0.2">
      <c r="A24" s="65" t="s">
        <v>166</v>
      </c>
      <c r="B24" s="66"/>
      <c r="C24" s="6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15461-8C8E-E04E-9972-C5B7A68A6D32}">
  <dimension ref="A1:C40"/>
  <sheetViews>
    <sheetView workbookViewId="0">
      <selection activeCell="B12" sqref="B12"/>
    </sheetView>
  </sheetViews>
  <sheetFormatPr baseColWidth="10" defaultRowHeight="15" x14ac:dyDescent="0.2"/>
  <cols>
    <col min="1" max="1" width="39.83203125" bestFit="1" customWidth="1"/>
    <col min="2" max="2" width="31" customWidth="1"/>
    <col min="3" max="3" width="19" customWidth="1"/>
  </cols>
  <sheetData>
    <row r="1" spans="1:3" ht="16" x14ac:dyDescent="0.2">
      <c r="A1" s="67" t="s">
        <v>29</v>
      </c>
      <c r="B1" s="67" t="s">
        <v>169</v>
      </c>
      <c r="C1" s="67" t="s">
        <v>168</v>
      </c>
    </row>
    <row r="2" spans="1:3" x14ac:dyDescent="0.2">
      <c r="A2" s="30" t="s">
        <v>94</v>
      </c>
      <c r="B2" s="30"/>
      <c r="C2" s="30"/>
    </row>
    <row r="3" spans="1:3" x14ac:dyDescent="0.2">
      <c r="A3" s="30" t="s">
        <v>95</v>
      </c>
      <c r="B3" s="30"/>
      <c r="C3" s="30"/>
    </row>
    <row r="4" spans="1:3" x14ac:dyDescent="0.2">
      <c r="A4" s="68" t="s">
        <v>96</v>
      </c>
      <c r="B4" s="30"/>
      <c r="C4" s="30"/>
    </row>
    <row r="5" spans="1:3" x14ac:dyDescent="0.2">
      <c r="A5" s="30" t="s">
        <v>97</v>
      </c>
      <c r="B5" s="30"/>
      <c r="C5" s="30"/>
    </row>
    <row r="6" spans="1:3" x14ac:dyDescent="0.2">
      <c r="A6" s="68" t="s">
        <v>98</v>
      </c>
      <c r="B6" s="30"/>
      <c r="C6" s="30"/>
    </row>
    <row r="7" spans="1:3" x14ac:dyDescent="0.2">
      <c r="A7" s="30" t="s">
        <v>99</v>
      </c>
      <c r="B7" s="30"/>
      <c r="C7" s="30"/>
    </row>
    <row r="8" spans="1:3" x14ac:dyDescent="0.2">
      <c r="A8" s="30" t="s">
        <v>100</v>
      </c>
      <c r="B8" s="30"/>
      <c r="C8" s="30"/>
    </row>
    <row r="9" spans="1:3" x14ac:dyDescent="0.2">
      <c r="A9" s="30" t="s">
        <v>101</v>
      </c>
      <c r="B9" s="30"/>
      <c r="C9" s="30"/>
    </row>
    <row r="10" spans="1:3" x14ac:dyDescent="0.2">
      <c r="A10" s="30" t="s">
        <v>102</v>
      </c>
      <c r="B10" s="30"/>
      <c r="C10" s="30"/>
    </row>
    <row r="11" spans="1:3" x14ac:dyDescent="0.2">
      <c r="A11" s="30" t="s">
        <v>103</v>
      </c>
      <c r="B11" s="30"/>
      <c r="C11" s="30"/>
    </row>
    <row r="12" spans="1:3" x14ac:dyDescent="0.2">
      <c r="A12" s="30" t="s">
        <v>104</v>
      </c>
      <c r="B12" s="30"/>
      <c r="C12" s="30"/>
    </row>
    <row r="13" spans="1:3" x14ac:dyDescent="0.2">
      <c r="A13" s="30" t="s">
        <v>105</v>
      </c>
      <c r="B13" s="30"/>
      <c r="C13" s="30"/>
    </row>
    <row r="14" spans="1:3" x14ac:dyDescent="0.2">
      <c r="A14" s="30" t="s">
        <v>106</v>
      </c>
      <c r="B14" s="30"/>
      <c r="C14" s="30"/>
    </row>
    <row r="15" spans="1:3" x14ac:dyDescent="0.2">
      <c r="A15" s="30" t="s">
        <v>107</v>
      </c>
      <c r="B15" s="30"/>
      <c r="C15" s="30"/>
    </row>
    <row r="16" spans="1:3" x14ac:dyDescent="0.2">
      <c r="A16" s="30" t="s">
        <v>108</v>
      </c>
      <c r="B16" s="30"/>
      <c r="C16" s="30"/>
    </row>
    <row r="17" spans="1:3" x14ac:dyDescent="0.2">
      <c r="A17" s="30" t="s">
        <v>109</v>
      </c>
      <c r="B17" s="30"/>
      <c r="C17" s="30"/>
    </row>
    <row r="18" spans="1:3" x14ac:dyDescent="0.2">
      <c r="A18" s="68" t="s">
        <v>110</v>
      </c>
      <c r="B18" s="30"/>
      <c r="C18" s="30"/>
    </row>
    <row r="19" spans="1:3" x14ac:dyDescent="0.2">
      <c r="A19" s="68" t="s">
        <v>111</v>
      </c>
      <c r="B19" s="30"/>
      <c r="C19" s="30"/>
    </row>
    <row r="20" spans="1:3" x14ac:dyDescent="0.2">
      <c r="A20" s="68" t="s">
        <v>112</v>
      </c>
      <c r="B20" s="30"/>
      <c r="C20" s="30"/>
    </row>
    <row r="21" spans="1:3" x14ac:dyDescent="0.2">
      <c r="A21" s="68" t="s">
        <v>113</v>
      </c>
      <c r="B21" s="30"/>
      <c r="C21" s="30"/>
    </row>
    <row r="22" spans="1:3" x14ac:dyDescent="0.2">
      <c r="A22" s="30" t="s">
        <v>114</v>
      </c>
      <c r="B22" s="30"/>
      <c r="C22" s="30"/>
    </row>
    <row r="23" spans="1:3" x14ac:dyDescent="0.2">
      <c r="A23" s="30" t="s">
        <v>115</v>
      </c>
      <c r="B23" s="30"/>
      <c r="C23" s="30"/>
    </row>
    <row r="24" spans="1:3" x14ac:dyDescent="0.2">
      <c r="A24" s="30" t="s">
        <v>116</v>
      </c>
      <c r="B24" s="30"/>
      <c r="C24" s="30"/>
    </row>
    <row r="25" spans="1:3" x14ac:dyDescent="0.2">
      <c r="A25" s="30" t="s">
        <v>117</v>
      </c>
      <c r="B25" s="30"/>
      <c r="C25" s="30"/>
    </row>
    <row r="26" spans="1:3" x14ac:dyDescent="0.2">
      <c r="A26" s="30" t="s">
        <v>118</v>
      </c>
      <c r="B26" s="30"/>
      <c r="C26" s="30"/>
    </row>
    <row r="27" spans="1:3" x14ac:dyDescent="0.2">
      <c r="A27" s="30" t="s">
        <v>119</v>
      </c>
      <c r="B27" s="30"/>
      <c r="C27" s="30"/>
    </row>
    <row r="28" spans="1:3" x14ac:dyDescent="0.2">
      <c r="A28" s="30" t="s">
        <v>120</v>
      </c>
      <c r="B28" s="30"/>
      <c r="C28" s="30"/>
    </row>
    <row r="29" spans="1:3" x14ac:dyDescent="0.2">
      <c r="A29" s="30" t="s">
        <v>121</v>
      </c>
      <c r="B29" s="30"/>
      <c r="C29" s="30"/>
    </row>
    <row r="30" spans="1:3" x14ac:dyDescent="0.2">
      <c r="A30" s="68" t="s">
        <v>122</v>
      </c>
      <c r="B30" s="30"/>
      <c r="C30" s="30"/>
    </row>
    <row r="31" spans="1:3" x14ac:dyDescent="0.2">
      <c r="A31" s="30" t="s">
        <v>123</v>
      </c>
      <c r="B31" s="30"/>
      <c r="C31" s="30"/>
    </row>
    <row r="32" spans="1:3" x14ac:dyDescent="0.2">
      <c r="A32" s="30" t="s">
        <v>124</v>
      </c>
      <c r="B32" s="30"/>
      <c r="C32" s="30"/>
    </row>
    <row r="33" spans="1:3" x14ac:dyDescent="0.2">
      <c r="A33" s="30" t="s">
        <v>125</v>
      </c>
      <c r="B33" s="30"/>
      <c r="C33" s="30"/>
    </row>
    <row r="34" spans="1:3" x14ac:dyDescent="0.2">
      <c r="A34" s="30" t="s">
        <v>126</v>
      </c>
      <c r="B34" s="30"/>
      <c r="C34" s="30"/>
    </row>
    <row r="35" spans="1:3" x14ac:dyDescent="0.2">
      <c r="A35" s="68" t="s">
        <v>127</v>
      </c>
      <c r="B35" s="30"/>
      <c r="C35" s="30"/>
    </row>
    <row r="36" spans="1:3" x14ac:dyDescent="0.2">
      <c r="A36" s="68" t="s">
        <v>128</v>
      </c>
      <c r="B36" s="30"/>
      <c r="C36" s="30"/>
    </row>
    <row r="37" spans="1:3" x14ac:dyDescent="0.2">
      <c r="A37" s="68" t="s">
        <v>129</v>
      </c>
      <c r="B37" s="30"/>
      <c r="C37" s="30"/>
    </row>
    <row r="38" spans="1:3" x14ac:dyDescent="0.2">
      <c r="A38" s="68" t="s">
        <v>130</v>
      </c>
      <c r="B38" s="30"/>
      <c r="C38" s="30"/>
    </row>
    <row r="39" spans="1:3" x14ac:dyDescent="0.2">
      <c r="A39" s="68" t="s">
        <v>131</v>
      </c>
      <c r="B39" s="30"/>
      <c r="C39" s="30"/>
    </row>
    <row r="40" spans="1:3" x14ac:dyDescent="0.2">
      <c r="A40" s="68" t="s">
        <v>132</v>
      </c>
      <c r="B40" s="30"/>
      <c r="C40" s="3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B2CC-FA1B-4812-A6C5-FD036F73C1FB}">
  <dimension ref="A1:M17"/>
  <sheetViews>
    <sheetView workbookViewId="0">
      <selection activeCell="H4" sqref="H4"/>
    </sheetView>
  </sheetViews>
  <sheetFormatPr baseColWidth="10" defaultColWidth="8.83203125" defaultRowHeight="15" x14ac:dyDescent="0.2"/>
  <cols>
    <col min="2" max="2" width="12.5" customWidth="1"/>
    <col min="4" max="4" width="9.1640625" bestFit="1" customWidth="1"/>
    <col min="9" max="9" width="15" customWidth="1"/>
    <col min="12" max="12" width="14.83203125" customWidth="1"/>
  </cols>
  <sheetData>
    <row r="1" spans="1:13" x14ac:dyDescent="0.2">
      <c r="A1" s="2" t="s">
        <v>14</v>
      </c>
      <c r="B1" s="2" t="s">
        <v>36</v>
      </c>
      <c r="C1" s="2" t="s">
        <v>133</v>
      </c>
      <c r="D1" s="2" t="s">
        <v>16</v>
      </c>
    </row>
    <row r="2" spans="1:13" ht="52.75" customHeight="1" x14ac:dyDescent="0.2">
      <c r="A2" s="1"/>
      <c r="B2" s="1" t="s">
        <v>134</v>
      </c>
      <c r="C2" s="1" t="s">
        <v>135</v>
      </c>
      <c r="D2" s="1" t="s">
        <v>0</v>
      </c>
      <c r="F2" s="26" t="s">
        <v>136</v>
      </c>
    </row>
    <row r="3" spans="1:13" ht="36" x14ac:dyDescent="0.2">
      <c r="A3" s="1"/>
      <c r="B3" s="1" t="s">
        <v>137</v>
      </c>
      <c r="C3" s="1" t="s">
        <v>138</v>
      </c>
      <c r="D3" s="1" t="s">
        <v>1</v>
      </c>
      <c r="F3" s="26" t="s">
        <v>139</v>
      </c>
      <c r="I3" s="58" t="s">
        <v>101</v>
      </c>
      <c r="J3" s="57" t="s">
        <v>140</v>
      </c>
      <c r="K3" s="57"/>
      <c r="L3" s="57"/>
      <c r="M3" s="57"/>
    </row>
    <row r="4" spans="1:13" ht="48" x14ac:dyDescent="0.2">
      <c r="A4" s="1"/>
      <c r="B4" s="1" t="s">
        <v>141</v>
      </c>
      <c r="C4" s="1" t="s">
        <v>142</v>
      </c>
      <c r="D4" s="1" t="s">
        <v>2</v>
      </c>
      <c r="F4" s="1" t="s">
        <v>143</v>
      </c>
      <c r="I4" s="58"/>
      <c r="J4" s="32"/>
      <c r="K4" s="31" t="s">
        <v>144</v>
      </c>
      <c r="L4" s="31" t="s">
        <v>145</v>
      </c>
      <c r="M4" s="31" t="s">
        <v>146</v>
      </c>
    </row>
    <row r="5" spans="1:13" ht="48" x14ac:dyDescent="0.2">
      <c r="A5" s="1"/>
      <c r="B5" s="1"/>
      <c r="C5" s="1" t="s">
        <v>147</v>
      </c>
      <c r="D5" s="1" t="s">
        <v>3</v>
      </c>
      <c r="F5" s="1" t="s">
        <v>6</v>
      </c>
      <c r="I5" s="58"/>
      <c r="J5" s="32" t="s">
        <v>146</v>
      </c>
      <c r="K5" s="30" t="s">
        <v>145</v>
      </c>
      <c r="L5" s="30" t="s">
        <v>146</v>
      </c>
      <c r="M5" s="30" t="s">
        <v>146</v>
      </c>
    </row>
    <row r="6" spans="1:13" ht="24" x14ac:dyDescent="0.2">
      <c r="A6" s="1"/>
      <c r="B6" s="1"/>
      <c r="C6" s="1" t="s">
        <v>148</v>
      </c>
      <c r="D6" s="1" t="s">
        <v>4</v>
      </c>
      <c r="F6" s="1" t="s">
        <v>149</v>
      </c>
      <c r="I6" s="58"/>
      <c r="J6" s="32" t="s">
        <v>145</v>
      </c>
      <c r="K6" s="30" t="s">
        <v>144</v>
      </c>
      <c r="L6" s="30" t="s">
        <v>145</v>
      </c>
      <c r="M6" s="30" t="s">
        <v>146</v>
      </c>
    </row>
    <row r="7" spans="1:13" ht="36" x14ac:dyDescent="0.2">
      <c r="A7" s="1"/>
      <c r="B7" s="1"/>
      <c r="C7" s="1" t="s">
        <v>150</v>
      </c>
      <c r="D7" s="1" t="s">
        <v>5</v>
      </c>
      <c r="F7" s="1" t="s">
        <v>7</v>
      </c>
      <c r="I7" s="58"/>
      <c r="J7" s="32" t="s">
        <v>144</v>
      </c>
      <c r="K7" s="30" t="s">
        <v>144</v>
      </c>
      <c r="L7" s="30" t="s">
        <v>144</v>
      </c>
      <c r="M7" s="30" t="s">
        <v>145</v>
      </c>
    </row>
    <row r="8" spans="1:13" ht="48" x14ac:dyDescent="0.2">
      <c r="A8" s="1"/>
      <c r="B8" s="1"/>
      <c r="C8" s="1" t="s">
        <v>151</v>
      </c>
      <c r="D8" s="1" t="s">
        <v>6</v>
      </c>
      <c r="F8" s="1" t="s">
        <v>8</v>
      </c>
    </row>
    <row r="9" spans="1:13" ht="36" x14ac:dyDescent="0.2">
      <c r="A9" s="1"/>
      <c r="B9" s="1"/>
      <c r="C9" s="1" t="s">
        <v>152</v>
      </c>
      <c r="D9" s="1" t="s">
        <v>7</v>
      </c>
      <c r="F9" s="1" t="s">
        <v>9</v>
      </c>
    </row>
    <row r="10" spans="1:13" ht="24" x14ac:dyDescent="0.2">
      <c r="A10" s="1"/>
      <c r="B10" s="1"/>
      <c r="C10" s="1" t="s">
        <v>153</v>
      </c>
      <c r="D10" s="1" t="s">
        <v>8</v>
      </c>
      <c r="F10" s="1" t="s">
        <v>11</v>
      </c>
    </row>
    <row r="11" spans="1:13" x14ac:dyDescent="0.2">
      <c r="A11" s="1"/>
      <c r="B11" s="1"/>
      <c r="C11" s="1"/>
      <c r="D11" s="1" t="s">
        <v>9</v>
      </c>
    </row>
    <row r="12" spans="1:13" x14ac:dyDescent="0.2">
      <c r="A12" s="1"/>
      <c r="B12" s="1"/>
      <c r="C12" s="1"/>
      <c r="D12" s="1" t="s">
        <v>10</v>
      </c>
    </row>
    <row r="13" spans="1:13" x14ac:dyDescent="0.2">
      <c r="A13" s="1"/>
      <c r="B13" s="1"/>
      <c r="C13" s="1"/>
      <c r="D13" s="1" t="s">
        <v>11</v>
      </c>
    </row>
    <row r="14" spans="1:13" ht="24" x14ac:dyDescent="0.2">
      <c r="A14" s="1"/>
      <c r="B14" s="1"/>
      <c r="C14" s="1"/>
      <c r="D14" s="1" t="s">
        <v>12</v>
      </c>
    </row>
    <row r="15" spans="1:13" ht="36" x14ac:dyDescent="0.2">
      <c r="A15" s="1"/>
      <c r="B15" s="1"/>
      <c r="C15" s="1"/>
      <c r="D15" s="1" t="s">
        <v>13</v>
      </c>
    </row>
    <row r="16" spans="1:13" x14ac:dyDescent="0.2">
      <c r="A16" s="1"/>
      <c r="B16" s="1"/>
      <c r="C16" s="1"/>
      <c r="D16" s="1"/>
    </row>
    <row r="17" spans="1:4" x14ac:dyDescent="0.2">
      <c r="A17" s="1"/>
      <c r="B17" s="1"/>
      <c r="C17" s="1"/>
      <c r="D17" s="1"/>
    </row>
  </sheetData>
  <mergeCells count="2">
    <mergeCell ref="J3:M3"/>
    <mergeCell ref="I3:I7"/>
  </mergeCells>
  <pageMargins left="0.7" right="0.7" top="0.75" bottom="0.75" header="0.3" footer="0.3"/>
  <headerFooter>
    <oddHeader>&amp;C&amp;"Calibri"&amp;10&amp;K0000FF Information Classification: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52AF6CA2E6494DAA5E2FBC63E29764" ma:contentTypeVersion="19" ma:contentTypeDescription="Create a new document." ma:contentTypeScope="" ma:versionID="ae2155798e36805a15774c9af07b4a66">
  <xsd:schema xmlns:xsd="http://www.w3.org/2001/XMLSchema" xmlns:xs="http://www.w3.org/2001/XMLSchema" xmlns:p="http://schemas.microsoft.com/office/2006/metadata/properties" xmlns:ns2="0a1cb7d3-1b6f-4e4b-8a81-6dc483e696e3" xmlns:ns3="7952c965-1bc8-4d6a-a6f3-a843a82af691" targetNamespace="http://schemas.microsoft.com/office/2006/metadata/properties" ma:root="true" ma:fieldsID="7158213d1f9e6a44c63b7e0670f5668c" ns2:_="" ns3:_="">
    <xsd:import namespace="0a1cb7d3-1b6f-4e4b-8a81-6dc483e696e3"/>
    <xsd:import namespace="7952c965-1bc8-4d6a-a6f3-a843a82af6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1cb7d3-1b6f-4e4b-8a81-6dc483e696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25df667-0e1e-4838-9e6a-5b9214ec29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52c965-1bc8-4d6a-a6f3-a843a82af69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dc2af06-77d3-41e0-93dd-c7f6c7d11e3f}" ma:internalName="TaxCatchAll" ma:showField="CatchAllData" ma:web="7952c965-1bc8-4d6a-a6f3-a843a82af6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52c965-1bc8-4d6a-a6f3-a843a82af691" xsi:nil="true"/>
    <lcf76f155ced4ddcb4097134ff3c332f xmlns="0a1cb7d3-1b6f-4e4b-8a81-6dc483e696e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2DA71B-5816-4E4C-942D-F4DB6F61A9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1cb7d3-1b6f-4e4b-8a81-6dc483e696e3"/>
    <ds:schemaRef ds:uri="7952c965-1bc8-4d6a-a6f3-a843a82af6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40E57E-3DAB-4391-8CCD-E846C84D684C}">
  <ds:schemaRefs>
    <ds:schemaRef ds:uri="http://schemas.openxmlformats.org/package/2006/metadata/core-properties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7952c965-1bc8-4d6a-a6f3-a843a82af691"/>
    <ds:schemaRef ds:uri="0a1cb7d3-1b6f-4e4b-8a81-6dc483e696e3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E700D93-9420-4D49-994A-430791B7CC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Ver History</vt:lpstr>
      <vt:lpstr>Project Level-Milestone</vt:lpstr>
      <vt:lpstr>COE Level</vt:lpstr>
      <vt:lpstr>UserStory-Workitem</vt:lpstr>
      <vt:lpstr>Project Level-Sprint Tracking</vt:lpstr>
      <vt:lpstr>Project Level-Support</vt:lpstr>
      <vt:lpstr>Project Sprint Tracking</vt:lpstr>
      <vt:lpstr>Project Level Support</vt:lpstr>
      <vt:lpstr>Legend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Neeti</dc:creator>
  <cp:keywords/>
  <dc:description/>
  <cp:lastModifiedBy>Sougata Bagchi</cp:lastModifiedBy>
  <cp:revision/>
  <dcterms:created xsi:type="dcterms:W3CDTF">2015-06-05T18:17:20Z</dcterms:created>
  <dcterms:modified xsi:type="dcterms:W3CDTF">2026-02-24T05:13:09Z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0x010100E952AF6CA2E6494DAA5E2FBC63E29764</vt:lpwstr>
  </property>
  <property fmtid="{D5CDD505-2E9C-101B-9397-08002B2CF9AE}" pid="3" name="MSIP_Label_bf2bc035-94f5-49f9-9c20-c5b9a6df9479_Enabled">
    <vt:lpwstr>true</vt:lpwstr>
  </property>
  <property fmtid="{D5CDD505-2E9C-101B-9397-08002B2CF9AE}" pid="4" name="MSIP_Label_bf2bc035-94f5-49f9-9c20-c5b9a6df9479_SetDate">
    <vt:lpwstr>2025-01-08T09:51:32Z</vt:lpwstr>
  </property>
  <property fmtid="{D5CDD505-2E9C-101B-9397-08002B2CF9AE}" pid="5" name="MSIP_Label_bf2bc035-94f5-49f9-9c20-c5b9a6df9479_Method">
    <vt:lpwstr>Privileged</vt:lpwstr>
  </property>
  <property fmtid="{D5CDD505-2E9C-101B-9397-08002B2CF9AE}" pid="6" name="MSIP_Label_bf2bc035-94f5-49f9-9c20-c5b9a6df9479_Name">
    <vt:lpwstr>3-Internal</vt:lpwstr>
  </property>
  <property fmtid="{D5CDD505-2E9C-101B-9397-08002B2CF9AE}" pid="7" name="MSIP_Label_bf2bc035-94f5-49f9-9c20-c5b9a6df9479_SiteId">
    <vt:lpwstr>d78a8218-4135-4026-a3a8-1cdd7223b4d5</vt:lpwstr>
  </property>
  <property fmtid="{D5CDD505-2E9C-101B-9397-08002B2CF9AE}" pid="8" name="MSIP_Label_bf2bc035-94f5-49f9-9c20-c5b9a6df9479_ActionId">
    <vt:lpwstr>1e00b840-73f9-4b1c-925f-20e88b17019c</vt:lpwstr>
  </property>
  <property fmtid="{D5CDD505-2E9C-101B-9397-08002B2CF9AE}" pid="9" name="MSIP_Label_bf2bc035-94f5-49f9-9c20-c5b9a6df9479_ContentBits">
    <vt:lpwstr>1</vt:lpwstr>
  </property>
  <property fmtid="{D5CDD505-2E9C-101B-9397-08002B2CF9AE}" pid="10" name="MediaServiceImageTags">
    <vt:lpwstr/>
  </property>
</Properties>
</file>