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sougatabagchi/Projects/MSIL/Enterprise-PM-Platform/epms-2/07 Client Delivery/"/>
    </mc:Choice>
  </mc:AlternateContent>
  <xr:revisionPtr revIDLastSave="0" documentId="13_ncr:1_{A8F23A86-648C-3743-9F1F-BA8D5102B79D}" xr6:coauthVersionLast="47" xr6:coauthVersionMax="47" xr10:uidLastSave="{00000000-0000-0000-0000-000000000000}"/>
  <bookViews>
    <workbookView xWindow="0" yWindow="660" windowWidth="30240" windowHeight="18980" tabRatio="920" firstSheet="2" activeTab="4" xr2:uid="{C886029C-5521-4698-9E05-53A62FFFF943}"/>
  </bookViews>
  <sheets>
    <sheet name="Cover" sheetId="1" r:id="rId1"/>
    <sheet name="Notes" sheetId="6" r:id="rId2"/>
    <sheet name="Index" sheetId="7" r:id="rId3"/>
    <sheet name="Scope" sheetId="8" r:id="rId4"/>
    <sheet name="Checklist" sheetId="2" r:id="rId5"/>
    <sheet name="Sheet2" sheetId="11" r:id="rId6"/>
    <sheet name="Sheet1" sheetId="10" state="hidden" r:id="rId7"/>
    <sheet name="Score" sheetId="5" state="veryHidden" r:id="rId8"/>
    <sheet name="Definitions" sheetId="3" r:id="rId9"/>
    <sheet name="References" sheetId="9" r:id="rId10"/>
  </sheets>
  <functionGroups builtInGroupCount="19"/>
  <externalReferences>
    <externalReference r:id="rId11"/>
    <externalReference r:id="rId12"/>
    <externalReference r:id="rId13"/>
  </externalReferences>
  <definedNames>
    <definedName name="_xlnm._FilterDatabase" localSheetId="4" hidden="1">Checklist!$C$2:$D$2</definedName>
    <definedName name="_xlnm._FilterDatabase" localSheetId="9" hidden="1">References!$B$19:$F$145</definedName>
    <definedName name="_xlnm._FilterDatabase" localSheetId="6" hidden="1">Sheet1!$B$2:$H$134</definedName>
    <definedName name="a">#REF!</definedName>
    <definedName name="ABC" localSheetId="1">#REF!</definedName>
    <definedName name="ABC">#REF!</definedName>
    <definedName name="abcd">#REF!</definedName>
    <definedName name="Appendix1">[1]Threat_Database!$B$7:$B$54</definedName>
    <definedName name="AS">#REF!</definedName>
    <definedName name="asd" localSheetId="1">#REF!</definedName>
    <definedName name="asd">#REF!</definedName>
    <definedName name="avf">#REF!</definedName>
    <definedName name="Awareness">#REF!</definedName>
    <definedName name="b">#REF!</definedName>
    <definedName name="CCTNS">#REF!</definedName>
    <definedName name="cdsc">#REF!</definedName>
    <definedName name="clickotory">#REF!</definedName>
    <definedName name="dqwd">#REF!</definedName>
    <definedName name="EaseofExploit">#REF!</definedName>
    <definedName name="EasyofDiscovery">#REF!</definedName>
    <definedName name="FinancialDamage">#REF!</definedName>
    <definedName name="fvyjh" localSheetId="1">#REF!</definedName>
    <definedName name="fvyjh">#REF!</definedName>
    <definedName name="g">#REF!</definedName>
    <definedName name="h">'[2]SOC Observations'!#REF!</definedName>
    <definedName name="hgcjh" localSheetId="1">'[2]SOC Observations'!#REF!</definedName>
    <definedName name="hgcjh">'[2]SOC Observations'!#REF!</definedName>
    <definedName name="IntrusionDetection">#REF!</definedName>
    <definedName name="j">'[2]SOC Observations'!#REF!</definedName>
    <definedName name="kl">#REF!</definedName>
    <definedName name="l">#REF!</definedName>
    <definedName name="LossofAccountability">#REF!</definedName>
    <definedName name="LossofAvailability">#REF!</definedName>
    <definedName name="LossofConfidentiality">#REF!</definedName>
    <definedName name="LossofIntegrity">#REF!</definedName>
    <definedName name="lst_status" localSheetId="1">'[2]SOC Observations'!#REF!</definedName>
    <definedName name="lst_status">'[2]SOC Observations'!#REF!</definedName>
    <definedName name="mkl">'[2]SOC Observations'!#REF!</definedName>
    <definedName name="Motive">#REF!</definedName>
    <definedName name="MountRoad" localSheetId="1">'[2]SOC Observations'!#REF!</definedName>
    <definedName name="MountRoad">'[2]SOC Observations'!#REF!</definedName>
    <definedName name="NonCompliance">#REF!</definedName>
    <definedName name="Opportunity">#REF!</definedName>
    <definedName name="Oracle">#REF!</definedName>
    <definedName name="Oracle2">#REF!</definedName>
    <definedName name="p">#REF!</definedName>
    <definedName name="PolicyViolation">#REF!</definedName>
    <definedName name="PopulationSize">#REF!</definedName>
    <definedName name="_xlnm.Print_Area" localSheetId="1">Notes!#REF!</definedName>
    <definedName name="ReputationDamage">#REF!</definedName>
    <definedName name="result">#REF!</definedName>
    <definedName name="SkillRequired">#REF!</definedName>
    <definedName name="Test">#REF!</definedName>
    <definedName name="TG_Road" localSheetId="1">'[2]SOC Observations'!#REF!</definedName>
    <definedName name="TG_Road">'[2]SOC Observations'!#REF!</definedName>
    <definedName name="Threats" localSheetId="1">#REF!</definedName>
    <definedName name="Threats">#REF!</definedName>
    <definedName name="vadfv">#REF!</definedName>
    <definedName name="View">#REF!</definedName>
    <definedName name="x">[3]Threat_Database!$B$7:$B$54</definedName>
    <definedName name="xdaq">'[2]SOC Observations'!#REF!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H5" i="5"/>
  <c r="G5" i="5"/>
  <c r="F5" i="5"/>
  <c r="E5" i="5"/>
  <c r="J5" i="5" l="1"/>
  <c r="E17" i="6"/>
  <c r="C17" i="6"/>
  <c r="C16" i="6"/>
  <c r="E16" i="6"/>
</calcChain>
</file>

<file path=xl/sharedStrings.xml><?xml version="1.0" encoding="utf-8"?>
<sst xmlns="http://schemas.openxmlformats.org/spreadsheetml/2006/main" count="1440" uniqueCount="825">
  <si>
    <t>MARUTI SUZUKI INDIA LIMITED : ENTERPRISE ARCHITECTURE CHECKLIST BASED ON SHERWOOD APPLIED BUSINESS SECURITY ARCHITECTURE (SABSA) FRAMEWORK</t>
  </si>
  <si>
    <t>DRAFT FOR REVIEW v 0.2</t>
  </si>
  <si>
    <t>28th August 2025</t>
  </si>
  <si>
    <t>Document Sponsor:</t>
  </si>
  <si>
    <t>MSIL</t>
  </si>
  <si>
    <t>Document Owner:</t>
  </si>
  <si>
    <t>Document Creator:</t>
  </si>
  <si>
    <t>Revision History</t>
  </si>
  <si>
    <t>Version</t>
  </si>
  <si>
    <t>Author</t>
  </si>
  <si>
    <t>Date</t>
  </si>
  <si>
    <t>Revision Details</t>
  </si>
  <si>
    <t>Initial Draft</t>
  </si>
  <si>
    <t>Review of Draft</t>
  </si>
  <si>
    <t>Final Draft</t>
  </si>
  <si>
    <t>Final Copy</t>
  </si>
  <si>
    <t>Document Approval</t>
  </si>
  <si>
    <t>#</t>
  </si>
  <si>
    <t>Approver</t>
  </si>
  <si>
    <t>Business Group</t>
  </si>
  <si>
    <t>Approval Date</t>
  </si>
  <si>
    <t>ICSMSAM (MSIL)</t>
  </si>
  <si>
    <t>Important Notes</t>
  </si>
  <si>
    <r>
      <t xml:space="preserve">This document was finalized and approved as of </t>
    </r>
    <r>
      <rPr>
        <b/>
        <sz val="10"/>
        <color rgb="FFFF0000"/>
        <rFont val="Arial"/>
        <family val="2"/>
      </rPr>
      <t>&lt;DATE?&gt;</t>
    </r>
    <r>
      <rPr>
        <sz val="10"/>
        <color rgb="FF000000"/>
        <rFont val="Arial"/>
        <family val="2"/>
      </rPr>
      <t>. Additional command references may be added in future.</t>
    </r>
  </si>
  <si>
    <t>INDEX</t>
  </si>
  <si>
    <t>Scope</t>
  </si>
  <si>
    <t>Click to view</t>
  </si>
  <si>
    <t>Checklist</t>
  </si>
  <si>
    <t>Score</t>
  </si>
  <si>
    <t xml:space="preserve">Definitions </t>
  </si>
  <si>
    <t>SCOPE</t>
  </si>
  <si>
    <t>Click For Index</t>
  </si>
  <si>
    <t>The objective is to obtain a score based on the SABSA (Sherwood Applied Business Security Architecture) framework to assess Enterprise security architecture maturity. The assessment will cover the following key domains:
1.SaaS / PaaS / Infrastructure / Cloud Architecture
2. Identity &amp; Access Management (IAM) including Machine/Service Accounts
3. Data Security &amp; Residency
4. Logging, Monitoring &amp; Observability
5. Network Segmentation &amp; Trust Zones
6. DevSecOps &amp; CI/CD Pipelines
7. Third-party Risk &amp; Shadow IT
8. Mobile &amp; Endpoint Governance
9. Operational Maturity &amp; Resilience
10. Governance, Risk &amp; Compliance
11. Zero Trust &amp; Advanced Security Concepts
12. Backups, Disaster Recovery (DR), and Business Continuity Planning (BCP)</t>
  </si>
  <si>
    <t>About SABSA Framework</t>
  </si>
  <si>
    <t>SABSA is a method used to design and manage security in a way that supports business goals. Instead of starting with technology, SABSA starts with what the business needs like protecting sensitive data, meeting compliance, or managing risk and builds the security architecture from there. It helps organizations make sure their security plans are practical, well-structured, and aligned with how the business actually works.</t>
  </si>
  <si>
    <t>S.No.</t>
  </si>
  <si>
    <t>Checkpoints</t>
  </si>
  <si>
    <t>Audit Scoring</t>
  </si>
  <si>
    <t>Remarks</t>
  </si>
  <si>
    <t>Contextual (Business Requirements) : Business goals, stakeholder needs, trust requirements</t>
  </si>
  <si>
    <t>Are architecture governance roles and accountability clearly documented?</t>
  </si>
  <si>
    <t>Are contractual SLAs mapped to internal risk management thresholds?</t>
  </si>
  <si>
    <t>Are end-user privacy expectations and legal disclosures addressed in architecture?</t>
  </si>
  <si>
    <t>Are regulatory frameworks (e.g., RBI, GDPR, ISO etc.) mapped to architecture and compliance controls?</t>
  </si>
  <si>
    <t>Does the cloud  / infra usage align with enterprise risk tolerance defined in ISMS risk statements?</t>
  </si>
  <si>
    <t>Has team classified all information assets based on confidentiality, integrity, availability?</t>
  </si>
  <si>
    <t>Has the organization defined its business goals, risk appetite, and ethical principles for adopting AI/ML solutions?</t>
  </si>
  <si>
    <t>Has the organization defined privacy objectives, obligations, and risk appetite for handling personal data?</t>
  </si>
  <si>
    <t>Have business goals and risk appetite for SaaS/PaaS/Infrastructure/cloud adoption been formally documented?</t>
  </si>
  <si>
    <t>Have business-critical processes been mapped to cloud services (SaaS / PaaS / whatever applicable\)?</t>
  </si>
  <si>
    <t>Have data residency and sovereignty concerns been assessed before selecting cloud regions?</t>
  </si>
  <si>
    <t>Is there a business continuity plan linked to cloud service / infrastructure / application dependencies?</t>
  </si>
  <si>
    <t>Is there an enterprise-wide inventory of SaaS/ PaaS / Infrastructure / Application vendors with service details?</t>
  </si>
  <si>
    <t>Is there executive sponsorship documented for the Project strategy?</t>
  </si>
  <si>
    <t>Conceptual (Security Concept) : Security domains, policies, and high-level services</t>
  </si>
  <si>
    <t>Are high-level security design decisions approved by a cross-functional review board?</t>
  </si>
  <si>
    <t>Are interdependencies between SaaS / PaaS and internal systems mapped and documented?</t>
  </si>
  <si>
    <t>Are logical components assigned trust scores or zone designations?</t>
  </si>
  <si>
    <t>Are privacy principles (minimization, purpose limitation, consent, accountability) documented as part of policies?</t>
  </si>
  <si>
    <t>Are responsibilities for IAM lifecycle clearly assigned and monitored?</t>
  </si>
  <si>
    <t>Are SaaS/PaaS/ application/ infrastructure service categories (e.g., HRMS, CRM, DevOps) mapped to internal domains?</t>
  </si>
  <si>
    <t>Are trust zones defined for workloads (e.g.,  internal, SaaS, PaaS, Internal Zone, APIs, 3rd party)?</t>
  </si>
  <si>
    <t>Have conceptual data flow diagrams been reviewed for sensitive data exposure risks?</t>
  </si>
  <si>
    <t>Have governance structures and policies been established to oversee AI model lifecycle, ethics, and compliance?</t>
  </si>
  <si>
    <t>Have high-level security objectives been mapped to cloud service / application / infrastructure (e.g. API, SaaS , PaaS etc.) providers?</t>
  </si>
  <si>
    <t>Is a security service catalogue defined for each zone?</t>
  </si>
  <si>
    <t>Is data classification integrated into identity and access controls?</t>
  </si>
  <si>
    <t>Is identity federation standardized (e.g., SSO, SAML, OIDC, OAuth2)?</t>
  </si>
  <si>
    <t>Logical (Security Policy) : Access control models, encryption strategies, identity management</t>
  </si>
  <si>
    <t>Are admin activities (logins, changes) logged and reviewed periodically?</t>
  </si>
  <si>
    <t>Are AI systems designed with controls for bias detection, model transparency, and explainability?</t>
  </si>
  <si>
    <t>Are APIs authenticated using secure tokens, and rotated regularly?</t>
  </si>
  <si>
    <t>Are backup access controls segregated from production systems?</t>
  </si>
  <si>
    <t>Are data flows documented across boundaries (e.g., SaaS / PaaS/  On-prem / Applications/ Cloud)?</t>
  </si>
  <si>
    <t>Are data leakage paths identified and mitigated (e.g., clipboard, sync, cache)?</t>
  </si>
  <si>
    <t>Are data sanitization methods defined for SaaS exports/downloads?</t>
  </si>
  <si>
    <t>Are DLP policies applied to endpoints and SaaS / PaaS/ Cloud/ Applications interfaces?</t>
  </si>
  <si>
    <t>Are resource tags or labels used for access control or cost attribution?</t>
  </si>
  <si>
    <t>Are SaaS platforms integrated with corporate DLP, CASB, or SWG tools?</t>
  </si>
  <si>
    <t>Are service-to-service communications protected (e.g., mTLS, VPN, service mesh)?</t>
  </si>
  <si>
    <t>Are session timeouts, idle logouts, and re-authentication implemented per policy?</t>
  </si>
  <si>
    <t>Are shared accounts avoided and any use of them explicitly reviewed and approved?</t>
  </si>
  <si>
    <t>Are workloads protected from identity-based attacks (e.g., token replay, OAuth misuse)?</t>
  </si>
  <si>
    <t>Have logical data architectures incorporated privacy requirements such as pseudonymization, data retention, and consent management?</t>
  </si>
  <si>
    <t>Is cloud-native / infrastructure network segmentation (e.g., subnets, VNETs) aligned with trust zones?</t>
  </si>
  <si>
    <t>Is cross-border data transfer governed via policy (e.g., hosted in India / outside India)?</t>
  </si>
  <si>
    <t>Is data encrypted in transit using TLS1.2+ or TLS1.3?</t>
  </si>
  <si>
    <t>Is data-at-rest encryption enforced using AES-256 or cloud-native KMS?</t>
  </si>
  <si>
    <t>Is MFA enforced for all admin and privileged accounts?</t>
  </si>
  <si>
    <t>Is RBAC/ABAC implemented consistently across all platforms?</t>
  </si>
  <si>
    <t>Is tenant isolation achieved via logical or encryption-based controls?</t>
  </si>
  <si>
    <t>Is there a centralized identity governance solution for onboarding/offboarding across apps?</t>
  </si>
  <si>
    <t>Is there separation of duties in provisioning, approving, and reviewing access?</t>
  </si>
  <si>
    <t>Operational (Security Operations) : Monitoring, incident response, maintenance</t>
  </si>
  <si>
    <t>Are all SaaS/PaaS/ Infrastructure / Application / Cloud services monitored for uptime, SLA violations, and alerts?</t>
  </si>
  <si>
    <t>Are architecture deviations logged and tracked through change control?</t>
  </si>
  <si>
    <t>Are audit trails and compliance evidence generated automatically?</t>
  </si>
  <si>
    <t>Are critical configurations baseline-tracked using automated monitoring tools?</t>
  </si>
  <si>
    <t>Are dormant accounts or unused licenses reviewed quarterly?</t>
  </si>
  <si>
    <t>Are emergency access ('break glass') accounts tested and logged?</t>
  </si>
  <si>
    <t>Are exceptions to policy documented, justified, and risk-accepted?</t>
  </si>
  <si>
    <t>Are IR playbooks aligned with security incident scenarios?</t>
  </si>
  <si>
    <t>Are known CVEs and cloud vulnerabilities tracked with SLA-defined remediation?</t>
  </si>
  <si>
    <t>Are monitoring tools integrated into change management for critical infra?</t>
  </si>
  <si>
    <t>Are operational dashboards used to monitor key SaaS/PaaS /Infrastructure / Application  health/security metrics?</t>
  </si>
  <si>
    <t>Are operational processes in place for DSARs (Data Subject Access Requests), breach notifications, and ongoing compliance monitoring?</t>
  </si>
  <si>
    <t>Are policy violations fed into GRC systems for exception tracking?</t>
  </si>
  <si>
    <t>Are quarterly architecture reviews conducted with security team oversight?</t>
  </si>
  <si>
    <t>Are SaaS/PaaS / Infrastructure / Application / Cloud onboarding checklists used to validate security before use?</t>
  </si>
  <si>
    <t>Are SaaS/PaaS vendors assessed for operational maturity (e.g., SOC1/2, ISO certs)?</t>
  </si>
  <si>
    <t>Are SaaS/PaaS/ Infrastructure / Application vendors included in BCP/DR testing?</t>
  </si>
  <si>
    <t>Are software bills of materials (SBOMs) collected and verified in CI/CD pipelines?</t>
  </si>
  <si>
    <t>Are third-party risk assessments conducted before onboarding new services?</t>
  </si>
  <si>
    <t>Are zero trust principles (e.g., adaptive access, device health) applied?</t>
  </si>
  <si>
    <t>Is attack simulation (red teaming, breach attack simulation) conducted annually?</t>
  </si>
  <si>
    <t>Is continuous monitoring in place to detect AI model drift, anomalous behavior, or regulatory non-compliance?</t>
  </si>
  <si>
    <t>Is post-incident RCA documentation mandated and reviewed for cloud incidents?</t>
  </si>
  <si>
    <t>Is privileged access recertified at least quarterly across SaaS/PaaS?</t>
  </si>
  <si>
    <t>Is regulatory reporting capability validated for incidents (e.g., RBI / CERT breach timelines)?</t>
  </si>
  <si>
    <t>Is there a periodic review of cloud service risks in enterprise risk register?</t>
  </si>
  <si>
    <t>Is there a periodic third-party risk review cycle for all cloud / application providers?</t>
  </si>
  <si>
    <t>Is there an escalation matrix and RACI for cloud incidents involving third-party SaaS vendors?</t>
  </si>
  <si>
    <t>Physical (Security Architecture) : Network devices, servers, firewalls</t>
  </si>
  <si>
    <t>Are cloud firewalls and security groups configured with least privilege?</t>
  </si>
  <si>
    <t>Are cloud service interconnects (e.g., VPN, direct connect) encrypted and monitored?</t>
  </si>
  <si>
    <t>Are cloud-native infrastructure scanning tools (e.g., AWS Inspector, Azure Defender) enabled?</t>
  </si>
  <si>
    <t>Are containers scanned for vulnerabilities pre- and post-deployment?</t>
  </si>
  <si>
    <t>Are DNS configurations hardened against spoofing, hijacking, or data exfiltration?</t>
  </si>
  <si>
    <t>Are infrastructure components deployed via hardened images?</t>
  </si>
  <si>
    <t>Are infrastructure scanning tools (e.g., Antivirus/ malware/ ransomware) enabled?</t>
  </si>
  <si>
    <t>Are PaaS / infrastructure runtimes (e.g., NodeJS, Python, Java) maintained at LTS/security patch levels?</t>
  </si>
  <si>
    <t>Are production and test environments logically and physically separated?</t>
  </si>
  <si>
    <t>Are remote admin access methods protected using Just-in-Time access or zero standing privileges?</t>
  </si>
  <si>
    <t>Are system images hardened, baselined, and periodically scanned for drift?</t>
  </si>
  <si>
    <t>Are workload isolation and resource quotas applied in container clusters?</t>
  </si>
  <si>
    <t>Have AI model training data and pipelines been secured against unauthorized access, tampering, and data poisoning?</t>
  </si>
  <si>
    <t>Is Bastion access audited and restricted to authorized personnel?</t>
  </si>
  <si>
    <t>Is root/admin access on PaaS infrastructure tightly controlled and monitored?</t>
  </si>
  <si>
    <t>Is sensitive data encrypted, masked, or anonymized at rest, in transit, and during processing?</t>
  </si>
  <si>
    <t>Is serverless or PaaS runtime execution time-limited and monitored for abuse?</t>
  </si>
  <si>
    <t>Is there a documented list of approved public-facing endpoints?</t>
  </si>
  <si>
    <t>Component (Security Component) : Vendor solutions, configurations, tools</t>
  </si>
  <si>
    <t>Are AI platforms and components (frameworks, APIs, ML Ops tools) inventoried and monitored for vulnerabilities?</t>
  </si>
  <si>
    <t>Are all integrations (e.g., API, ETL, bhooks) mapped and authorized?</t>
  </si>
  <si>
    <t>Are backups encrypted and tested periodically for integrity?</t>
  </si>
  <si>
    <t>Are browser plugins/extensions controlled for access to corporate SaaS tools?</t>
  </si>
  <si>
    <t>Are changes to configurations and policies logged and reviewed?</t>
  </si>
  <si>
    <t>Are code repositories scanned for secrets, tokens, and config leaks?</t>
  </si>
  <si>
    <t>Are data pipeline jobs and cloud ETL tools protected with role-based access?</t>
  </si>
  <si>
    <t>Are expired SaaS/PaaS accounts de-provisioned automatically?</t>
  </si>
  <si>
    <t>Are file transfer methods (FTP, SCP, APIs) reviewed and governed?</t>
  </si>
  <si>
    <t>Are logs generated for all control-plane and data-plane events?</t>
  </si>
  <si>
    <t>Are logs stored centrally (e.g., SIEM, cloud-native)?</t>
  </si>
  <si>
    <t>Are logs tamper-evident or immutable (e.g., object lock, blockchain hash)?</t>
  </si>
  <si>
    <t>Are machine identities (certificates, API keys) centrally managed and rotated?</t>
  </si>
  <si>
    <t>Are mobile devices with access to SaaS apps governed via MDM/MAM policies?</t>
  </si>
  <si>
    <t>Are privacy-enhancing technologies (PETs) and controls implemented in system components (apps, DBs, APIs)?</t>
  </si>
  <si>
    <t>Are SaaS-based collaboration tools (e.g., chat, file sharing) governed for misuse?</t>
  </si>
  <si>
    <t>Are storage buckets/blobs reviewed for public exposure or misconfigurations?</t>
  </si>
  <si>
    <t>Are unmanaged devices prevented from accessing sensitive SaaS resources?</t>
  </si>
  <si>
    <t>Is access to logs restricted and monitored?</t>
  </si>
  <si>
    <t>Is alert fatigue analyzed to tune detection thresholds?</t>
  </si>
  <si>
    <t>Is centralized alerting configured for security events?</t>
  </si>
  <si>
    <t>Is DNS-over-HTTPS (DoH) controlled in endpoints accessing SaaS apps?</t>
  </si>
  <si>
    <t>Is email security integrated with SaaS (SPF, DKIM, DMARC, phishing protection)?</t>
  </si>
  <si>
    <t>Is sensitive data tokenized or masked before exposure in non-production environments?</t>
  </si>
  <si>
    <t>Is session recording/logging used for high-risk admin activities?</t>
  </si>
  <si>
    <t>Is Shadow IT discovery conducted and addressed through policy and tooling?</t>
  </si>
  <si>
    <t>Is there a documented recovery strategy for SaaS/PaaS outages?</t>
  </si>
  <si>
    <t>Is there an automated mechanism to detect misconfigured storage (e.g., S3 buckets)?</t>
  </si>
  <si>
    <t xml:space="preserve">Is there retention policy of logs? Does it meet compliance mandates? Mention in remarks the retention policy </t>
  </si>
  <si>
    <t>Ranges (all together)</t>
  </si>
  <si>
    <t>Clear Button Range</t>
  </si>
  <si>
    <t>Clear Button Range (all together)</t>
  </si>
  <si>
    <t>Mandatory S.No.</t>
  </si>
  <si>
    <t>B4:B17</t>
  </si>
  <si>
    <t>Contextual B4:B17</t>
  </si>
  <si>
    <t>D4:D17</t>
  </si>
  <si>
    <t>1, 4, 6, 9, 10, 11, 16, 18, 21, 22, 23, 27, 29, 30, 33, 38, 45, 47, 48, 52, 57, 58, 60, 63, 68, 71, 73, 80, 84, 85, 88, 93, 97, 102, 107, 108, 114, 120, 121, 124</t>
  </si>
  <si>
    <t>Mandatory</t>
  </si>
  <si>
    <t>Conceptual B19:B31</t>
  </si>
  <si>
    <t>B19:B31</t>
  </si>
  <si>
    <t>D19:D31</t>
  </si>
  <si>
    <t>Total Mandatory: 40</t>
  </si>
  <si>
    <t>May be mandatory</t>
  </si>
  <si>
    <t>Logical B33:B56</t>
  </si>
  <si>
    <t>B33:B56</t>
  </si>
  <si>
    <t>D33:D56</t>
  </si>
  <si>
    <t>Operational B58:B85</t>
  </si>
  <si>
    <t>B58:B85</t>
  </si>
  <si>
    <t>D58:D85</t>
  </si>
  <si>
    <t>Physical B87: B104</t>
  </si>
  <si>
    <t>B87: B104</t>
  </si>
  <si>
    <t>D87:D104</t>
  </si>
  <si>
    <t>Component B106: B134</t>
  </si>
  <si>
    <t>B106: B134</t>
  </si>
  <si>
    <t>D106:D134</t>
  </si>
  <si>
    <t>D87: D104</t>
  </si>
  <si>
    <t>D106: D134</t>
  </si>
  <si>
    <t>SCORE</t>
  </si>
  <si>
    <t>S.No</t>
  </si>
  <si>
    <t>Total Checkpoints</t>
  </si>
  <si>
    <t>Mandatory Pass</t>
  </si>
  <si>
    <t xml:space="preserve">Total Pass </t>
  </si>
  <si>
    <t>Total Fail</t>
  </si>
  <si>
    <t>Total Risk Noted</t>
  </si>
  <si>
    <t>Total Not Applicable</t>
  </si>
  <si>
    <t xml:space="preserve">Final Result </t>
  </si>
  <si>
    <t>NOTES:
1. Total pass value includes all 'Mandatory' as well as 'May be mandatory' pass checks.
2. Total Fail value includes fail value of mandatory checks
3. Total Risk Noted value includes Risk Noted value of mandatory checks
4. Total Not Applicable value includes Not applicable value of mandatory checks</t>
  </si>
  <si>
    <t>Mandatory Pass Checkpoints : Fail / Risk Noted / Not Applicable</t>
  </si>
  <si>
    <t>Domain</t>
  </si>
  <si>
    <t>Fail Checkpoints (Except Mandatory Pass Fail)</t>
  </si>
  <si>
    <t>Risk Noted Checkpoints (Except Mandatory Pass : Risk Noted)</t>
  </si>
  <si>
    <t>Not Applicable Checkpoints (Except Mandatory Pass : Not Applicable)</t>
  </si>
  <si>
    <t>Definitions</t>
  </si>
  <si>
    <t>AI</t>
  </si>
  <si>
    <t>Asset Inventory</t>
  </si>
  <si>
    <t>RM</t>
  </si>
  <si>
    <t>Risk Matrix</t>
  </si>
  <si>
    <t>SC</t>
  </si>
  <si>
    <t>Security Concepts</t>
  </si>
  <si>
    <t>COP</t>
  </si>
  <si>
    <t>Control Objectives &amp; Policies</t>
  </si>
  <si>
    <t>GM</t>
  </si>
  <si>
    <t>Governance Model</t>
  </si>
  <si>
    <t>SSC</t>
  </si>
  <si>
    <t>Security Services Catalogue</t>
  </si>
  <si>
    <t>SDT</t>
  </si>
  <si>
    <t>Security Domains &amp; Trust Models</t>
  </si>
  <si>
    <t>AMF</t>
  </si>
  <si>
    <t>Audit &amp; Monitoring Framework</t>
  </si>
  <si>
    <t>SaaS</t>
  </si>
  <si>
    <t>Software as a Service</t>
  </si>
  <si>
    <t>PaaS</t>
  </si>
  <si>
    <t>Platform as a Service</t>
  </si>
  <si>
    <t>RBI</t>
  </si>
  <si>
    <t>Reserve Bank of India</t>
  </si>
  <si>
    <t>GDPR</t>
  </si>
  <si>
    <t>General Data Protection Regulation</t>
  </si>
  <si>
    <t>ISO</t>
  </si>
  <si>
    <t>International Organization for Standardization</t>
  </si>
  <si>
    <t>SLAs</t>
  </si>
  <si>
    <t>Service Level Agreements</t>
  </si>
  <si>
    <t>APIs</t>
  </si>
  <si>
    <t>Application Programming Interfaces</t>
  </si>
  <si>
    <t>SSO</t>
  </si>
  <si>
    <t>Single Sign-On</t>
  </si>
  <si>
    <t>SAML</t>
  </si>
  <si>
    <t>Security Assertion Markup Language</t>
  </si>
  <si>
    <t>OAuth2</t>
  </si>
  <si>
    <t>Open Authorization 2.0</t>
  </si>
  <si>
    <t>IAM</t>
  </si>
  <si>
    <t>Identity and Access Management</t>
  </si>
  <si>
    <t>HRMS</t>
  </si>
  <si>
    <t>Human Resource Management System</t>
  </si>
  <si>
    <t>CRM</t>
  </si>
  <si>
    <t>Customer Relationship Management</t>
  </si>
  <si>
    <t>DevOps</t>
  </si>
  <si>
    <t>Development and Operations</t>
  </si>
  <si>
    <t>RBAC/ABAC</t>
  </si>
  <si>
    <t>Role-Based Access Control / Attribute-Based Access Control</t>
  </si>
  <si>
    <t>MFA</t>
  </si>
  <si>
    <t>Multi-Factor Authentication</t>
  </si>
  <si>
    <t>TLS1.2+</t>
  </si>
  <si>
    <t>Transport Layer Security version 1.2 or higher</t>
  </si>
  <si>
    <t>TLS1.3</t>
  </si>
  <si>
    <t>Transport Layer Security version 1.3</t>
  </si>
  <si>
    <t>AES-256</t>
  </si>
  <si>
    <t>Advanced Encryption Standard with 256-bit key</t>
  </si>
  <si>
    <t>KMS</t>
  </si>
  <si>
    <t>Key Management System</t>
  </si>
  <si>
    <t>mTLS</t>
  </si>
  <si>
    <t>Mutual Transport Layer Security</t>
  </si>
  <si>
    <t>VPN</t>
  </si>
  <si>
    <t>Virtual Private Network</t>
  </si>
  <si>
    <t>DLP</t>
  </si>
  <si>
    <t>Data Loss Prevention</t>
  </si>
  <si>
    <t>VNETs</t>
  </si>
  <si>
    <t>Virtual Networks</t>
  </si>
  <si>
    <t>CASB</t>
  </si>
  <si>
    <t>Cloud Access Security Broker</t>
  </si>
  <si>
    <t>SWG tools</t>
  </si>
  <si>
    <t>Secure Web Gateway tools</t>
  </si>
  <si>
    <t>BCP/DR testing</t>
  </si>
  <si>
    <t>Business Continuity Planning / Disaster Recovery testing</t>
  </si>
  <si>
    <t>CVEs</t>
  </si>
  <si>
    <t>Common Vulnerabilities and Exposures</t>
  </si>
  <si>
    <t>SLA</t>
  </si>
  <si>
    <t>Service Level Agreement</t>
  </si>
  <si>
    <t>SOC1/2</t>
  </si>
  <si>
    <t>System and Organization Controls Type 1 and Type 2</t>
  </si>
  <si>
    <t>ISO certs</t>
  </si>
  <si>
    <t>International Organization for Standardization Certifications</t>
  </si>
  <si>
    <t>RCA</t>
  </si>
  <si>
    <t>Root Cause Analysis</t>
  </si>
  <si>
    <t>RACI</t>
  </si>
  <si>
    <t>Responsible, Accountable, Consulted, Informed</t>
  </si>
  <si>
    <t>SBOMs</t>
  </si>
  <si>
    <t>Software Bill of Materials</t>
  </si>
  <si>
    <t>CI/CD pipelines</t>
  </si>
  <si>
    <t>Continuous Integration / Continuous Deployment pipelines</t>
  </si>
  <si>
    <t>GRC systems</t>
  </si>
  <si>
    <t>Governance, Risk, and Compliance systems</t>
  </si>
  <si>
    <t>AWS</t>
  </si>
  <si>
    <t>Amazon Web Services</t>
  </si>
  <si>
    <t>SIEM</t>
  </si>
  <si>
    <t>Security Information and Event Management</t>
  </si>
  <si>
    <t>API</t>
  </si>
  <si>
    <t>Application Programming Interface</t>
  </si>
  <si>
    <t>ETL</t>
  </si>
  <si>
    <t>Extract, Transform, Load</t>
  </si>
  <si>
    <t>bhooks</t>
  </si>
  <si>
    <t>Browser Hooks</t>
  </si>
  <si>
    <t>SPF</t>
  </si>
  <si>
    <t>Sender Policy Framework</t>
  </si>
  <si>
    <t>DKIM</t>
  </si>
  <si>
    <t>DomainKeys Identified Mail</t>
  </si>
  <si>
    <t>DMARC</t>
  </si>
  <si>
    <t>Domain-based Message Authentication, Reporting &amp; Conformance</t>
  </si>
  <si>
    <t>S3 buckets</t>
  </si>
  <si>
    <t>Simple Storage Service buckets</t>
  </si>
  <si>
    <t>ETL tools</t>
  </si>
  <si>
    <t>Extract, Transform, Load tools</t>
  </si>
  <si>
    <t>FTP</t>
  </si>
  <si>
    <t>File Transfer Protocol</t>
  </si>
  <si>
    <t>SCP</t>
  </si>
  <si>
    <t>Secure Copy Protocol</t>
  </si>
  <si>
    <t>Identity Federation</t>
  </si>
  <si>
    <t>Identity federation means allowing users to log in to multiple systems or services using one trusted identity, even if those systems are managed by different organizations or vendors, e.g., it’s like using office organization ID badge to access not just organization building, but also partner buildings, because partner trust organization identity provider.</t>
  </si>
  <si>
    <t>DNS-over-HTTPS (DoH)?</t>
  </si>
  <si>
    <t>DNS-over-HTTPS (DoH) is a security feature that sends DNS requests (which translate website names like example.com into IP addresses) over encrypted HTTPS connections instead of plain text.</t>
  </si>
  <si>
    <t>Service Mesh</t>
  </si>
  <si>
    <t>A service mesh is a security and communication layer built into organization infrastructure that helps services (like microservices or APIs) talk to each other safely and reliably.</t>
  </si>
  <si>
    <t>Cloud-Native KMS</t>
  </si>
  <si>
    <t>Cloud-native Key Management Service (KMS) is a secure, built-in service provided by cloud platforms (like AWS, Azure, or Google Cloud) to create, manage, and control encryption keys used to protect your data.</t>
  </si>
  <si>
    <t>Data-at-Rest Encryption</t>
  </si>
  <si>
    <t>Data-at-rest encryption means protecting data that is stored (not actively moving across networks) like files on a disk, databases, or backups, by converting it into unreadable code using encryption. This ensures that even if someone gets access to the storage, they can’t read the data without the right keys.</t>
  </si>
  <si>
    <t>Zone Designations</t>
  </si>
  <si>
    <t>Zone designations are labels or categories used to group systems, applications, or components based on how much they are trusted and what kind of security they need.</t>
  </si>
  <si>
    <t xml:space="preserve">CASB </t>
  </si>
  <si>
    <t>Cloud Access Security Broker . CASB is a security tool that sits between users and cloud services (like SaaS apps) to monitor and control access.</t>
  </si>
  <si>
    <t>SWG</t>
  </si>
  <si>
    <t>Secure Web Gateway is a tool that filters internet traffic to block unsafe websites, malware, and data leaks.</t>
  </si>
  <si>
    <t xml:space="preserve">Trust Zone </t>
  </si>
  <si>
    <t>Example of Trust Zone and What’s Inside that zone (as an example)
1. Internal Zone: On-prem servers, internal apps
2. Cloud SaaS Zone : Office 365, Salesforce
3. PaaS/IaaS Zone : Azure App Services, AWS EC2
4. API Gateway Zone: Public or partner-facing APIs
5. Third-Party Zone : Vendor systems, B2B integrations
6. DMZ (Demilitarized Zone) : Web servers, load balancers exposed to internet</t>
  </si>
  <si>
    <t>MDM/MAM policies</t>
  </si>
  <si>
    <t>Mobile Device Manage</t>
  </si>
  <si>
    <t>Aeras Covered</t>
  </si>
  <si>
    <t>SaaS/PaaS Architecture</t>
  </si>
  <si>
    <t>Includes multi-tenancy, API security, session control, vendor SLAs, DR, backups</t>
  </si>
  <si>
    <t>Identity &amp; Access Management</t>
  </si>
  <si>
    <t>Federation, RBAC, MFA, JML lifecycle, shared accounts, admin roles</t>
  </si>
  <si>
    <t>Data Security</t>
  </si>
  <si>
    <t>DLP, encryption (at-rest/in-transit), tokenization, masking, classification</t>
  </si>
  <si>
    <t>Logging &amp; Monitoring</t>
  </si>
  <si>
    <t>Central logging, retention, SIEM, anomaly detection, alerting</t>
  </si>
  <si>
    <t>Network &amp; Trust Zones</t>
  </si>
  <si>
    <t>Segmentation, VPN, Zero Trust, DNS hardening, trust boundaries</t>
  </si>
  <si>
    <t>DevSecOps / CI-CD Pipelines</t>
  </si>
  <si>
    <t>Static code analysis, SBOM, secrets scanning, code signing, RBAC</t>
  </si>
  <si>
    <t>Third-party &amp; Shadow IT</t>
  </si>
  <si>
    <t>CASB, vendor maturity, Shadow IT discovery, plugin control</t>
  </si>
  <si>
    <t>Mobile &amp; Endpoint Governance</t>
  </si>
  <si>
    <t>MDM/MAM, DoH, plugin risks, SaaS app usage from BYOD</t>
  </si>
  <si>
    <t>Operational Maturity</t>
  </si>
  <si>
    <t>Incident playbooks, RCA, escalation matrix, quarterly reviews</t>
  </si>
  <si>
    <t>Governance / Compliance</t>
  </si>
  <si>
    <t>Policy exceptions, risk registers, regulatory mapping, certifications</t>
  </si>
  <si>
    <t>Zero Trust &amp; Advanced Concepts</t>
  </si>
  <si>
    <t>Adaptive access, service mesh, privilege minimization, attack simulations</t>
  </si>
  <si>
    <t>Observability</t>
  </si>
  <si>
    <t>Metrics dashboards, change monitoring, configuration baselining</t>
  </si>
  <si>
    <t>Data Residency / Cross-border</t>
  </si>
  <si>
    <t>Covered via region control, sovereign cloud checks</t>
  </si>
  <si>
    <t>Backups / DR / BCP</t>
  </si>
  <si>
    <t>Frequency, encryption, SLA alignment, test success rate</t>
  </si>
  <si>
    <t>IAM Machine/Service Accounts</t>
  </si>
  <si>
    <t>API key rotation, cert expiry, lifecycle</t>
  </si>
  <si>
    <t>Checkpoint</t>
  </si>
  <si>
    <t>SABSA Layer</t>
  </si>
  <si>
    <t>SABSA Artifact</t>
  </si>
  <si>
    <t>Contextual</t>
  </si>
  <si>
    <t>GM, COP</t>
  </si>
  <si>
    <t>This control checks if MSIL has formally defined and recorded who is responsible for various aspects of architecture governance, including decision-making authority, oversight responsibilities, and accountability for ensuring that architectural principles and standards are followed.
This is important to maintain clear ownership, avoid conflicts or gaps in responsibility, and ensure that architectural decisions align with MSIL’s strategic goals, compliance requirements, and operational needs.</t>
  </si>
  <si>
    <t>This control checks if MSIL has aligned its cloud service provider SLAs (Service Level Agreements) like uptime guarantees or incident response times with its own internal risk tolerance and business continuity requirements.
This is important to ensure that MSIL’s expectations from vendors match its operational risk thresholds, helping avoid service gaps, unmet expectations, or compliance issues during incidents or outages.</t>
  </si>
  <si>
    <t>COP, GM</t>
  </si>
  <si>
    <t>This control checks whether MSIL’s system architecture explicitly incorporates end-user privacy requirements and legal disclosure obligations such as data minimization, purpose limitation, consent handling, and transparency provisions outlined in regulations like GDPR or India's DPDP Act.
This ensures that privacy is built-in, not bolted-on, empowering users with clarity and control over their data, while helping MSIL meet legal and ethical standards. Architecture that respects privacy isn’t just compliant it builds trust by design.</t>
  </si>
  <si>
    <t>This control checks whether MSIL has aligned key regulatory standards such as RBI guidelines, GDPR requirements, and ISO frameworks with its system architecture and compliance mechanisms, ensuring that each control or component addresses specific legal and regulatory obligations.
This is required to help MSIL demonstrate compliance during audits, reduce legal and reputational risks, and ensure that regulatory expectations are embedded into the design of its IT and security infrastructure from the ground up.</t>
  </si>
  <si>
    <t>GM, RM</t>
  </si>
  <si>
    <t>This control checks whether MSIL’s cloud service usage consistently aligns with the enterprise risk appetite as defined in board-approved risk tolerance statements covering areas like data security, vendor dependency, uptime, and regulatory exposure.
At the Contextual Layer of the SABSA framework, this means understanding the business goals and the level of risk the board is willing to accept. These are captured as business attributes such as confidentiality, availability, compliance, and integrity.
This is crucial for ensuring that strategic cloud decisions stay within acceptable risk boundaries, reflect leadership intent, and that new services or deployments don’t introduce misaligned or unapproved risk. It’s about making sure the cloud sails true to the course charted by the board.
Example : If the board says “No sensitive data in public cloud”, and you're storing customer data in SaaS — that’s a misalignment.
If the board says “We accept moderate availability risk”, and your cloud provider has strong SLAs — that’s aligned.</t>
  </si>
  <si>
    <t>AI, RM</t>
  </si>
  <si>
    <t>This control checks if MSIL has formally categorized all its information assets by evaluating how confidential the data is, how important it is to keep it accurate (integrity), and how critical it is that it's available when needed (availability).
This is essential for MSIL to protect sensitive data appropriately, prioritize resources, and ensure the right security measures are in place to support business continuity and compliance.</t>
  </si>
  <si>
    <t xml:space="preserve">GM (Governance Model), AI (Awareness &amp; Identity) </t>
  </si>
  <si>
    <t>This control checks if the organization has documented objectives for AI adoption, including fairness, transparency, accountability, and acceptable risk levels. This alignment prevents reputational damage and ensures AI supports strategic goals.</t>
  </si>
  <si>
    <t>GM (Governance Model), RM (Risk Management)</t>
  </si>
  <si>
    <t>This control ensures that business objectives align with privacy requirements (e.g., GDPR, DPDP, HIPAA). Privacy risks must be explicitly documented as part of business strategy.</t>
  </si>
  <si>
    <t>GM, AI</t>
  </si>
  <si>
    <t>This control checks if MSIL has clearly defined and recorded its objectives for using SaaS and PaaS solutions, along with how much risk it's prepared to accept during that adoption.
This is necessary to ensure MSIL’s cloud strategy supports long-term success, complies with legal and internal policies, and avoids unexpected risks that could disrupt operations or accountability.</t>
  </si>
  <si>
    <t>AI, GM</t>
  </si>
  <si>
    <t>This control checks if MSIL has identified its core business processes and explicitly linked them to the specific SaaS or PaaS services they rely on or benefit from within the cloud environment.
This is crucial for MSIL to ensure operational continuity, optimize service usage, and maintain visibility over which cloud services support essential business functions helping manage risks, dependencies, and performance expectations effectively.</t>
  </si>
  <si>
    <t>RM, COP</t>
  </si>
  <si>
    <t>This control checks whether MSIL has assessed data residency and sovereignty requirements before choosing cloud regions. Reviewing these concerns ensures that data is stored and processed according to legal and regulatory obligations in specific countries or regions, helping maintain compliance and avoid potential legal risks.</t>
  </si>
  <si>
    <t>This control checks whether MSIL has a documented business continuity plan that specifically takes into account its reliance on cloud services like SaaS and PaaS, including how disruptions to these services would be managed to minimize impact.
This is essential to ensure MSIL can maintain critical operations during outages, reduce downtime risks, and swiftly recover from incidents involving its cloud service providers safeguarding business resilience and stakeholder confidence.</t>
  </si>
  <si>
    <t>This control checks whether MSIL maintains an enterprise-wide inventory of all SaaS and PaaS vendors, including key service details like data residency, compliance certifications, supported functions, and business-criticality.
This is essential for visibility, risk management, vendor accountability, and ensuring that all cloud-based dependencies are governed under a unified framework. When your cloud partners are all on the map, navigating risk and resilience becomes far easier.</t>
  </si>
  <si>
    <t>This control checks whether MSIL has documented executive sponsorship for its cloud transformation strategy. Executive sponsorship ensures that leadership is actively supporting and guiding the initiative, which helps align the strategy with business goals and secures necessary resources for successful implementation.</t>
  </si>
  <si>
    <t>Conceptual</t>
  </si>
  <si>
    <t>GM, SC</t>
  </si>
  <si>
    <t>This control checks whether MSIL mandates that high-level security design decisions are reviewed and approved by a cross-functional governance body, ensuring strategic alignment, risk oversight, and architecture consistency across domains.</t>
  </si>
  <si>
    <t>SC, AI</t>
  </si>
  <si>
    <t>This control checks whether MSIL has mapped and documented interdependencies between SaaS platforms and internal systems ensuring that data flows, API integrations, authentication chains, and business logic touchpoints are clearly understood and governed.</t>
  </si>
  <si>
    <t>SDT, RM</t>
  </si>
  <si>
    <t>Here to examine if high-level architectural constructs like trust zones, identity federation, and service domains are defined. If present, these design principles prevent blind spots in security strategy and ensure cross-system consistency.
Examples of Zone Designations:
Trusted Zone : Internal systems with full control and high trust.
Semi-Trusted Zone  : Systems like APIs or PaaS with limited trust.
Untrusted Zone :  External services, third-party apps, or public-facing systems.
Zero Trust Zone : No default trust; every access is verified.</t>
  </si>
  <si>
    <t>COP (Compliance Policy), GM (Governance Model)</t>
  </si>
  <si>
    <t>This control verifies that privacy principles are embedded in enterprise policies and governance models. This enables privacy-by-design and supports regulatory compliance.</t>
  </si>
  <si>
    <t>This control checks if MSIL has clearly defined who is responsible for each part of the Identity and Access Management (IAM) lifecycle such as onboarding, role assignments, reviews, revocations and whether those responsibilities are actively tracked and enforced.
This is important to ensure MSIL maintains strong access controls, prevents privilege misuse, and supports accountability by making sure the right people have the right access at the right time, with oversight throughout the entire identity lifecycle.</t>
  </si>
  <si>
    <t>SC, GM</t>
  </si>
  <si>
    <t>This control checks whether MSIL categorizes its SaaS and PaaS services based on their function such as HRMS, CRM, DevOps, Finance and maps them to corresponding internal business or technical domains.
This is essential for enabling clear ownership, governance, risk assessment, and lifecycle management. It ensures that each service has the right stakeholders involved and that controls are applied consistently across similar service types. Think of it as placing every tool in the right drawer of the enterprise toolbox.</t>
  </si>
  <si>
    <t>SDT, SC</t>
  </si>
  <si>
    <t>This control checks whether MSIL has clearly established distinct trust zones for different types of workloads such as internal systems, SaaS applications, PaaS platforms, APIs, and third-party services based on their risk levels, access requirements, and security considerations.
This is important to ensure MSIL applies appropriate security controls to each zone, reduces the attack surface, and manages access and data flow between systems in a controlled and predictable manner. This helps protect sensitive assets and enforce strong isolation where needed.
Example of Trust Zone and What’s Inside that zone (as an example)
1. Internal Zone: On-prem servers, internal apps
2. Cloud SaaS Zone : Office 365, Salesforce
3. PaaS/IaaS Zone : Azure App Services, AWS EC2
4. API Gateway Zone: Public or partner-facing APIs
5. Third-Party Zone : Vendor systems, B2B integrations
6. DMZ (Demilitarized Zone) : Web servers, load balancers exposed to internet</t>
  </si>
  <si>
    <t>RM, SC</t>
  </si>
  <si>
    <t>This control checks whether conceptual data flow diagrams (DFDs) have been reviewed specifically to identify risks related to sensitive data exposure such as PII, financial records, health data, or proprietary business information.
These reviews are vital for ensuring that data flows only through secure, approved paths, that encryption or masking is applied at critical points (e.g., in transit, at rest), and that storage or processing components don’t inadvertently expose sensitive content.</t>
  </si>
  <si>
    <t>This control ensures governance responsibilities for AI model development, testing, deployment, and retirement are clearly defined. Policies must include explainability, auditability, and alignment with AI regulations (e.g., EU AI Act).</t>
  </si>
  <si>
    <t>SC, COP</t>
  </si>
  <si>
    <t>This control checks whether MSIL has clearly linked its overall security goals such as protecting sensitive data, ensuring compliance, and maintaining service resilience with the responsibilities and capabilities of its chosen cloud service providers.
This is important to ensure that MSIL’s cloud partners are fully aligned with its security expectations, enabling consistent protection across environments, reducing gaps in accountability, and supporting trust and transparency in outsourced operations.</t>
  </si>
  <si>
    <t>SSC, COP</t>
  </si>
  <si>
    <t>This control checks whether MSIL has established a clear catalog of security services such as firewalls, encryption, access controls, monitoring tools specifically tailored to the needs and risks of each trust zone, including internal systems, SaaS, PaaS, APIs, and third-party services.
This is necessary to ensure MSIL applies the right security measures in the right places, avoids inconsistent protection across environments, and enhances visibility, governance, and accountability within its cloud and IT architecture.</t>
  </si>
  <si>
    <t>AI, SC, COP</t>
  </si>
  <si>
    <t>This control checks whether MSIL has connected its data classification system labeling data based on sensitivity and importance with how user identities and access permissions are granted, ensuring that only authorized individuals can access specific types of data.
This is critical for MSIL to enforce least-privilege access, reduce the risk of data breaches, and make sure that sensitive information is only handled by people with the appropriate level of clearance and need.</t>
  </si>
  <si>
    <t>SC, SSC</t>
  </si>
  <si>
    <t>This control checks whether MSIL has adopted a consistent and standardized approach to identity federation using protocols like Single Sign-On (SSO), SAML, OIDC, or OAuth2 to manage user identities and authentication across various cloud and internal platforms.
This is important to ensure secure, seamless, and centralized access management for MSIL users, reduce the risk of credential-related breaches, simplify user experience, and improve visibility and control over identity governance across diverse systems.</t>
  </si>
  <si>
    <t>Logical</t>
  </si>
  <si>
    <t>This control checks whether MSIL logs all administrative activities such as logins, privilege escalations, and system configuration changes and ensures those logs are periodically reviewed by designated personnel or automated tools.
This is essential for maintaining transparency, accountability, and early threat detection across privileged operations. Admin accounts have the keys to the kingdom, so watching their every move helps catch missteps, breaches, or abuse before they spiral.</t>
  </si>
  <si>
    <t>AR (Architecture Requirements), RM (Risk Management)</t>
  </si>
  <si>
    <t>This control checks if system architecture enforces fairness, explainability, and traceability of AI models. This is critical to maintaining accountability and user trust in automated decision-making.</t>
  </si>
  <si>
    <t>This control checks whether MSIL secures its APIs by requiring the use of authentication tokens such as OAuth tokens or API keys and ensures those tokens are changed at regular intervals to prevent long-term misuse or exploitation.
This is essential for MSIL to maintain API security, limit unauthorized access, reduce the impact of token leaks, and uphold the integrity and confidentiality of data transmitted between systems and services.</t>
  </si>
  <si>
    <t>COP, SSC</t>
  </si>
  <si>
    <t>This control checks whether MSIL enforces segregation of access controls between backup infrastructure and production systems to minimize risk in the event of a breach or ransomware attack.</t>
  </si>
  <si>
    <t>This control checks whether MSIL protects data stored in its systems whether in databases, file storage, or backups by encrypting it using strong industry standards like AES-256 or by leveraging secure, cloud-native Key Management Services (KMS) provided by cloud vendors.
This is crucial for ensuring that MSIL’s sensitive information remains secure even if storage devices are compromised, meeting compliance standards, and reinforcing trust by keeping data safe against unauthorized access and breaches.</t>
  </si>
  <si>
    <t>This control checks whether MSIL has proactively identified potential data leakage channels such as clipboard copy-paste functions, file synchronization tools, cached files, or browser storage and has implemented specific measures to block or monitor these risks.
This is essential to prevent unintentional or unauthorized exposure of MSIL’s sensitive data, maintain compliance with security policies, and ensure that endpoints, cloud services, and user behaviors do not become silent leakage points in the data lifecycle.</t>
  </si>
  <si>
    <t>COP, RM</t>
  </si>
  <si>
    <t>This control checks whether MSIL has defined data sanitization methods for exports or downloads from SaaS platforms. These methods help remove sensitive or unnecessary data before it leaves the system, reducing the risk of data leakage and ensuring compliance with privacy and security policies.</t>
  </si>
  <si>
    <t>SSC, RM</t>
  </si>
  <si>
    <t>This control checks whether MSIL has implemented Data Loss Prevention (DLP) policies across both endpoints (e.g., laptops, mobile devices) and SaaS interfaces (e.g., email, file-sharing apps like OneDrive, SharePoint, Google Drive) to monitor, restrict, or block the unauthorized transmission of sensitive data.
This is essential for enforcing data security policies wherever users interact with sensitive content whether they’re copying files to USB drives, emailing confidential info, or syncing data to the cloud. A well-applied DLP policy acts like a smart guardian angel for your critical data, whispering “are you sure?” just before something slips through the cracks.</t>
  </si>
  <si>
    <t>This control checks if tags enable fine-grained access control by linking cloud resources to role-based policies that define who can view or manage them • They support cost attribution and governance by tagging resources with project, owner, or department metadata enabling accurate billing and operational insights</t>
  </si>
  <si>
    <t>This control checks whether MSIL has integrated its SaaS platforms with corporate security tools like Data Loss Prevention (DLP), Cloud Access Security Broker (CASB), or Secure Web Gateway (SWG). These integrations help monitor and protect data flow, enforce security policies, and reduce risks associated with data exposure and unauthorized access.
This control checks whether MSIL has connected its SaaS apps (like Office 365, Salesforce, etc.) to:
CASB for cloud security monitoring
SWG for safe web access
DLP to prevent sensitive data from leaking
This ensures that cloud usage is secure, compliant, and monitored — even when accessed from outside the corporate network.</t>
  </si>
  <si>
    <t>SSC, SC</t>
  </si>
  <si>
    <t>This control checks whether MSIL secures communications between its internal services across cloud, on-premises, or hybrid environments using mechanisms like mutual TLS (mTLS), VPN tunnels, or service meshes that ensure encrypted, authenticated, and tamper-resistant connections.
This is essential for preventing unauthorized access or data interception between MSIL’s services, maintaining data integrity and confidentiality, and ensuring robust internal security, especially as systems scale or become more distributed.</t>
  </si>
  <si>
    <t>This control checks whether MSIL has implemented a centralized identity governance solution to manage user onboarding, role changes, and offboarding consistently across all SaaS applications.
This is essential for enforcing least privilege access, preventing orphaned accounts, and ensuring compliance with internal policies and regulatory mandates. Ideally, onboarding triggers appropriate access based on roles, while offboarding revokes everything cleanly and immediately no lingering backdoors.</t>
  </si>
  <si>
    <t>COP, AMF</t>
  </si>
  <si>
    <t>This control checks whether MSIL avoids the use of shared accounts, and if their use is ever necessary, that it is formally reviewed, justified, and explicitly approved by appropriate authorities.
This is critical for enforcing accountability, traceability, and least privilege as shared credentials undermine audit trails and increase the risk of unauthorized access. In rare cases where they're needed (e.g., legacy system constraints), controls like session logging, time-bound access, and regular credential rotation should be in place. Think of it as allowing a spare key, but only after logging who took it, when, and for how long.</t>
  </si>
  <si>
    <t>SC, RM</t>
  </si>
  <si>
    <t>This control checks whether MSIL has implemented protections against identity-based attacks on workloads, such as token replay and OAuth misuse. These safeguards help prevent unauthorized access, ensuring that authentication mechanisms remain secure and workloads are shielded from exploitation.</t>
  </si>
  <si>
    <t>AR (Architecture Requirements), DS (Data Security)</t>
  </si>
  <si>
    <t>This control checks if logical data flows and architectures enforce privacy obligations, such as ensuring personal data is anonymized, retained only as long as necessary, and collected lawfully with consent.</t>
  </si>
  <si>
    <t>SC, SDT</t>
  </si>
  <si>
    <t>This control checks whether MSIL aligns cloud-native network segmentation mechanisms such as subnets, Virtual Networks (VNETs), security groups, and routing rules with established trust zones or data sensitivity tiers.</t>
  </si>
  <si>
    <t>This control checks whether MSIL has established and enforces clear policies governing cross-border data transfers ensuring that any movement of data outside national boundaries (like India) complies with regulatory, contractual, and privacy obligations.</t>
  </si>
  <si>
    <t>This control checks whether MSIL uses strong encryption protocols specifically TLS 1.2 or TLS 1.3 to protect data while it is being transmitted between systems, users, and cloud services, ensuring it can’t be intercepted or tampered with during transit.
This is vital for safeguarding MSIL’s sensitive information against eavesdropping, data breaches, and man-in-the-middle attacks, while also meeting industry security standards and regulatory expectations.</t>
  </si>
  <si>
    <t xml:space="preserve"> Assess whether technical safeguards like encryption, RBAC, MFA, and secure communications are consistently enforced across environments. This ensures sensitive data is protected and only the right people can access critical systems and workloads.</t>
  </si>
  <si>
    <t>This control checks whether MSIL has made Multi-Factor Authentication (MFA) mandatory for all administrator and privileged accounts to provide an extra layer of security beyond just a username and password.
This is crucial to protect MSIL’s most sensitive systems and data from unauthorized access, reduce the risk of credential-based attacks, and strengthen the overall security posture across internal and cloud environments.</t>
  </si>
  <si>
    <t>This control checks whether MSIL has applied Role-Based Access Control (RBAC) or Attribute-Based Access Control (ABAC) uniformly across all its platforms and systems, ensuring that access decisions are made based on user roles or specific attributes in a standardized way.
This is important to maintain consistent access policies throughout MSIL's environment, reduce the risk of unauthorized access, simplify governance, and strengthen security by ensuring only the right users have the right permissions across all systems and cloud services.</t>
  </si>
  <si>
    <t>This control checks whether MSIL ensures tenant isolation in its cloud environments by using methods like logical segmentation (e.g., separate virtual networks, access controls) or encryption techniques that keep each tenant’s data and operations securely separated from others.
This is important to prevent data leakage or unauthorized access between tenants, maintain strong security boundaries, and uphold customer trust by ensuring that MSIL’s multi-tenant environments remain secure and compliant.</t>
  </si>
  <si>
    <t>This control checks whether MSIL assigns trust scores or security zones to logical components such as microservices, virtual networks, APIs, and storage layers based on factors like sensitivity, exposure, and threat likelihood.
This is key to enabling tiered access controls, network segmentation, and dynamic security policies that reflect the true risk profile of each component. By classifying components into zones (e.g., trusted, semi-trusted, untrusted) or assigning scores, MSIL can tailor defenses proportionally protecting the crown jewels without slowing everything else down.</t>
  </si>
  <si>
    <t>This control checks whether MSIL enforces separation of duties (SoD) across access provisioning, approval, and periodic review ensuring that no single individual or team has end-to-end control over access to sensitive systems or data.
This is essential for reducing the risk of fraud, errors, and unauthorized privilege escalation by introducing checks and balances in identity management workflows.</t>
  </si>
  <si>
    <t>Operational</t>
  </si>
  <si>
    <t>SSC, AMF</t>
  </si>
  <si>
    <t>This control checks whether MSIL actively monitors all SaaS and PaaS services for uptime, SLA adherence, and security or operational alerts ensuring that service degradations, outages, or violations are promptly detected and addressed.
This is essential for maintaining resilience, accountability, and operational visibility across third-party platforms so that MSIL can meet internal service levels and respond swiftly when external dependencies falter. It’s the watchtower overlooking the cloud skyline.</t>
  </si>
  <si>
    <t>AMF, GM</t>
  </si>
  <si>
    <t>This control checks whether MSIL logs and tracks architecture deviations using a change control process. This ensures that any changes to system architecture are documented, reviewed, and approved, helping maintain system integrity and accountability.</t>
  </si>
  <si>
    <t>AMF, COP</t>
  </si>
  <si>
    <t>This control checks whether MSIL automatically generates audit trails and compliance evidence capturing system activities, access events, and policy enforcement actions without relying on manual inputs.
This is key to ensuring consistent, real-time visibility for audits, regulatory reporting, and incident response minimizing human error and speeding up compliance readiness. When evidence builds itself, teams can focus on using it not chasing it.</t>
  </si>
  <si>
    <t>AMF, RM</t>
  </si>
  <si>
    <t>This control checks whether MSIL uses automated monitoring tools to establish and track baseline configurations for critical systems. By defining a secure baseline and continuously comparing current configurations against it, the organization can quickly detect unauthorized changes, ensure compliance, and maintain a strong security posture through proactive alerts and remediation.</t>
  </si>
  <si>
    <t>This control checks whether MSIL performs quarterly reviews of dormant accounts and unused SaaS licenses. Regular reviews help identify and decommission inactive accounts or reclaim unused licenses, reducing unnecessary costs and minimizing the risk of unauthorized access due to lingering or unmanaged accounts.</t>
  </si>
  <si>
    <t>This control checks whether MSIL maintains emergency or “break glass” accounts with elevated privileges and whether their usage is both routinely tested and fully logged to ensure secure, accountable access in crisis scenarios.</t>
  </si>
  <si>
    <t>This control checks whether MSIL ensures that any exceptions to established security or compliance policies are formally documented, include justification for the deviation, and are approved through a structured risk acceptance process involving relevant stakeholders.
This is crucial to maintain transparency, accountability, and traceability when deviations are made balancing operational flexibility with risk-aware governance. Even when rules need bending, the risks should be crystal clear and signed off.</t>
  </si>
  <si>
    <t>GM, COP, AMF</t>
  </si>
  <si>
    <t>This control checks whether MSIL has incident response (IR) playbooks tailored specifically for cloud-related incidents covering scenarios such as data breaches, service disruptions, misconfigurations, credential leaks, or cloud provider outages.
This is vital to ensure rapid, coordinated, and effective response to cloud-native threats, reduce business impact, and fulfill regulatory obligations in today’s dynamic, hybrid-cloud landscape. The right playbook can turn chaos into control.</t>
  </si>
  <si>
    <t>RM, SSC</t>
  </si>
  <si>
    <t>This control checks whether MSIL tracks known CVEs (Common Vulnerabilities and Exposures) and cloud-specific vulnerabilities, and whether remediation is bound by defined SLAs (Service Level Agreements) based on severity and risk.
This is critical to ensure that vulnerabilities are addressed in a timely, prioritized manner, reducing exposure windows and supporting a proactive security posture. Timers start when threats are known SLAs make sure they don’t linger</t>
  </si>
  <si>
    <t>This control checks whether MSIL integrates monitoring tools into the change management process for critical infrastructure. Integration ensures that any changes made to essential systems are automatically tracked and assessed in real time, helping to detect issues early, maintain operational stability, and support audit and compliance requirements.</t>
  </si>
  <si>
    <t>This control checks whether MSIL uses operational dashboards to actively monitor the health and security posture of key SaaS and PaaS services bringing visibility into metrics that matter most across performance, availability, incident trends, and control effectiveness.</t>
  </si>
  <si>
    <t>COP (Compliance Policy), MON (Monitoring &amp; Metrics)</t>
  </si>
  <si>
    <t>This control ensures the organization can meet obligations for access, rectification, deletion, and breach notifications within regulatory timelines. Continuous compliance monitoring strengthens trust and reduces penalties.</t>
  </si>
  <si>
    <t>This control checks whether MSIL integrates policy violation data into its Governance, Risk, and Compliance (GRC) systems for exception tracking. Doing so enables centralized visibility and structured handling of deviations from established policies facilitating timely risk assessment, mitigation planning, and accountability. It also helps ensure that exceptions are documented, reviewed, and approved in line with organizational risk tolerance.</t>
  </si>
  <si>
    <t>GM, AMF</t>
  </si>
  <si>
    <t>This control checks whether MSIL conducts quarterly architecture reviews with direct involvement from the security team ensuring that system designs, updates, and new deployments are evaluated for security implications before and after implementation.
This is essential to catch architectural risks early, align projects with evolving security standards, and foster a culture of shared responsibility between engineering and security teams. Think of it as your quarterly tech health check with a security stethoscope.</t>
  </si>
  <si>
    <t>GM, SSC</t>
  </si>
  <si>
    <t>This control checks whether MSIL uses onboarding checklists to validate the security of SaaS and PaaS solutions before they are put into use. These checklists ensure that critical security measures are reviewed and implemented such as access controls, data protection, compliance requirements, and integration with security tools helping reduce the risk of misconfigurations or overlooked vulnerabilities during the adoption process.</t>
  </si>
  <si>
    <t>This control checks whether MSIL evaluates its SaaS and PaaS vendors for operational maturity by reviewing industry-standard certifications and audit reports such as SOC 1, SOC 2, ISO/IEC 27001, ISO 22301, or PCI-DSS, depending on the nature of services provided.
These attestations provide assurance that the vendor maintains strong security, privacy, availability, and business continuity controls.</t>
  </si>
  <si>
    <t>This control checks whether MSIL’s Business Continuity Planning (BCP) and Disaster Recovery (DR) testing includes its SaaS and PaaS vendors ensuring third-party dependencies are factored into resilience strategies.
This is crucial for validating that vendor outages won’t derail MSIL’s recovery capabilities, and that roles, responsibilities, and communication lines are clearly defined when external services go down. If a partner falters, the plan still stands.</t>
  </si>
  <si>
    <t>This control checks whether MSIL collects and verifies Software Bills of Materials (SBOMs) within its Continuous Integration/Continuous Deployment (CI/CD) pipelines. Incorporating SBOMs helps provide transparency into software components, including open-source and third-party dependencies. By verifying SBOMs as part of the CI/CD workflow, the organization can proactively identify vulnerabilities, enforce secure development practices, and comply with regulatory requirements ultimately reducing supply chain risks in deployed applications.</t>
  </si>
  <si>
    <t>RM, GM</t>
  </si>
  <si>
    <t>This control checks whether MSIL performs third-party risk assessments prior to onboarding new services evaluating vendors for security posture, compliance alignment, data handling practices, and operational resilience.
This is essential to identify and mitigate risks before they enter the ecosystem, ensuring new services don’t introduce hidden vulnerabilities or regulatory gaps. It’s about opening the front door only after checking credentials and keeping the welcome mat guarded.</t>
  </si>
  <si>
    <t>This control checks whether MSIL has adopted Zero Trust principles ensuring that no user, device, or workload is implicitly trusted, regardless of network location, and access decisions are made dynamically based on risk signals like identity posture, device health, and behavioral context.</t>
  </si>
  <si>
    <t>RM, AMF</t>
  </si>
  <si>
    <t>This control checks whether MSIL conducts annual attack simulations such as red teaming and breach attack simulations. These exercises test the organization’s ability to detect, respond to, and recover from cyberattacks, helping strengthen overall security readiness.</t>
  </si>
  <si>
    <t>This control ensures operational monitoring for model drift, bias, and explainability failures. Ongoing compliance checks help maintain accuracy and fairness of AI systems over time.</t>
  </si>
  <si>
    <t>This control checks whether MSIL mandates and reviews post-incident Root Cause Analysis (RCA) documentation for cloud-related incidents. Requiring and reviewing RCA reports ensures that the organization identifies the underlying causes of incidents, implements corrective actions, and continuously improves its cloud security posture to prevent recurrence.</t>
  </si>
  <si>
    <t>This control checks whether MSIL conducts quarterly recertification of privileged access across its SaaS and PaaS environments ensuring that elevated permissions are not granted indefinitely or without oversight.</t>
  </si>
  <si>
    <t>This control checks whether MSIL validates its regulatory reporting capabilities to ensure it can promptly and accurately report security incidents in line with mandated timelines like those defined by the Reserve Bank of India (RBI) or sector-specific regulators.</t>
  </si>
  <si>
    <t>This control checks whether MSIL regularly reviews cloud service risks including those from SaaS, PaaS, and IaaS providers as part of its enterprise risk register to keep security, operational, and compliance exposures up to date.
This is vital to ensure cloud risks are not overlooked, that mitigation strategies evolve with the cloud landscape, and that leadership has full visibility into how third-party cloud services impact overall organizational risk. It’s about connecting the cloud to the core of enterprise resilience.</t>
  </si>
  <si>
    <t>This control checks whether MSIL performs a periodic third-party risk review cycle for all cloud providers. These reviews evaluate how vendors manage security, privacy, and compliance over time, ensuring they continue to meet organizational standards and reducing the risk of data breaches or non-compliance</t>
  </si>
  <si>
    <t>This control checks whether MSIL has established an escalation matrix and a RACI (Responsible, Accountable, Consulted, Informed) model for cloud incidents involving third-party SaaS vendors. These frameworks ensure that during an incident, roles and responsibilities are clearly defined, communication paths are streamlined, and the right stakeholders are engaged at each step enabling faster response and effective resolution.</t>
  </si>
  <si>
    <t>Physical</t>
  </si>
  <si>
    <t>This control checks whether MSIL configures its cloud firewalls and security groups following the principle of least privilege meaning that each rule or permission only allows the minimum required access for a system, service, or user to function properly.
This is critical to reduce the risk of unauthorized access, lateral movement, or external attacks by tightly controlling what network traffic is permitted. It helps MSIL enforce a security posture that’s proactive, not reactive limiting exposure in the event of a breach or misconfiguration. Think of it as locking every door except the one you actually need to use.</t>
  </si>
  <si>
    <t>This control checks whether MSIL encrypts and monitors cloud service interconnects, such as VPNs or direct connections. Encryption ensures data remains protected during transmission, while monitoring helps detect and respond to potential security threats or unauthorized access in real time.</t>
  </si>
  <si>
    <t>AMF, SSC</t>
  </si>
  <si>
    <t>This control checks whether MSIL has enabled cloud-native infrastructure scanning tools, such as AWS Inspector, Azure Defender, or Google Cloud Security Command Center, to automatically assess configurations, vulnerabilities, and threats across cloud workloads.
These tools help identify misconfigurations, outdated packages, exposed ports, and compliance violations providing real-time insights directly within the cloud environment, often integrated with native dashboards and alerting systems. They’re essentially security scouts embedded in the terrain, always watching for danger before it strikes.</t>
  </si>
  <si>
    <t>This control checks whether MSIL actively scans its container images both before deployment (during the build or CI/CD pipeline) and after deployment (while running in production) for known security vulnerabilities, misconfigurations, or outdated libraries.
This is essential to ensure MSIL catches risks early, reduces exposure to emerging threats, and maintains a secure, compliant containerized environment throughout the lifecycle of its applications and services. It helps shift security left and sustain protection right.</t>
  </si>
  <si>
    <t>This control checks whether MSIL ensures its DNS configurations are hardened to prevent threats like spoofing, hijacking, and data exfiltration safeguarding the integrity and confidentiality of name resolution processes across cloud and on-prem environments.</t>
  </si>
  <si>
    <t>This control checks whether MSIL provisions its infrastructure such as virtual machines, containers, or operating systems using hardened images that are pre-configured with security best practices, unnecessary services disabled, and known vulnerabilities patched.
This is essential to minimize the attack surface for MSIL’s environments, ensure consistent baseline configurations across deployments, and accelerate compliance by embedding security into the infrastructure from the very beginning.</t>
  </si>
  <si>
    <t xml:space="preserve">This control checks whether MSIL has enabled  infrastructure scanning tools, such as Antivirus scanning etc..
</t>
  </si>
  <si>
    <t>This control checks whether MSIL ensures that all PaaS runtimes such as Node.js, Python, Java, and .NET are maintained at Long-Term Support (LTS) or actively patched versions, based on vendor guidance or internal security policies.
This is essential to mitigate risks from deprecated libraries, unpatched vulnerabilities, and compatibility issues that arise when runtimes fall behind. Keeping runtimes current ensures secure code execution environments, better performance, and alignment with supported frameworks in the cloud platforms. Think of it as keeping the engine well-oiled so the vehicle doesn’t stall mid-journey.</t>
  </si>
  <si>
    <t>This control checks whether MSIL maintains logical and physical separation between production and test environments. This separation helps prevent unauthorized access, accidental data exposure, or interference between environments, ensuring system stability and protecting sensitive production data.</t>
  </si>
  <si>
    <t>This control checks whether MSIL secures remote administrative access using Just-in-Time (JIT) access or zero standing privileges. These methods help minimize the window of opportunity for attackers by granting access only when needed and revoking it immediately after use, reducing the risk of unauthorized or persistent administrative access.</t>
  </si>
  <si>
    <t>This control checks whether MSIL ensures all system images (golden images) are properly hardened using security benchmarks (like CIS or DISA STIGs), then baselined as trusted configurations before deployment. Once in use, these images should be periodically scanned for drift meaning unauthorized changes, patch gaps, or deviations from the approved baseline are continuously monitored and flagged.
This is critical for maintaining system integrity, auditability, and threat resistance. Hardened and baselined images reduce attack surface from the get-go, and drift detection ensures they don’t silently erode over time. It’s like sealing the castle walls and routinely walking the perimeter.</t>
  </si>
  <si>
    <t>This control checks whether MSIL enforces workload isolation and resource quotas within containerized environments (such as Kubernetes or ECS) to prevent noisy neighbor issues, ensure fair resource allocation, and contain the blast radius of any compromised or misbehaving workload.</t>
  </si>
  <si>
    <t>DS (Data Security), SC (System Controls)</t>
  </si>
  <si>
    <t>This control verifies whether data sources, training environments, and pipelines are protected with encryption, access control, and monitoring to prevent adversarial attacks or manipulation of AI behavior.</t>
  </si>
  <si>
    <t>This control checks whether MSIL tightly manages and monitors access to its Bastion hosts which provide secure, jump-box-style access to critical systems by ensuring that only authorized personnel are granted access and that all sessions are auditable.
This is vital to protecting high-value administrative entry points, minimizing the risk of insider threats or external compromise, and ensuring a clear trail of activity for incident investigations, compliance, and accountability. Think of it as the fortified gatekeeper to MSIL’s digital strongholds only trusted keyholders get in, and every key turn is recorded.</t>
  </si>
  <si>
    <t>This control checks whether MSIL tightly governs and monitors root/admin access on its PaaS infrastructure ensuring it’s limited to authorized personnel, time-bound, protected by MFA, and fully logged.
This is essential to prevent misuse of powerful privileges, reduce security risks, and uphold trust and compliance across MSIL’s cloud platforms.</t>
  </si>
  <si>
    <t>This control ensures privacy protection at the infrastructure level, through encryption, masking, anonymization, and secure transmission of personal and sensitive information.</t>
  </si>
  <si>
    <t>This control checks whether MSIL enforces time limits on serverless or PaaS runtime executions and monitors them for signs of abuse. These safeguards help prevent excessive resource usage, detect malicious activity, and ensure efficient, secure use of computing resources.</t>
  </si>
  <si>
    <t>This control checks whether MSIL maintains a documented inventory of all approved public-facing endpoints such as web portals, APIs, or interfaces exposed to the internet.
This is vital for reducing shadow IT risks, ensuring proper security controls (e.g., WAF, DDoS protection) are applied, and maintaining oversight of the organization’s external attack surface. Only what’s meant to be visible should be nothing more, nothing less.</t>
  </si>
  <si>
    <t>Component</t>
  </si>
  <si>
    <t>AS (Asset Security), RM (Risk Management)</t>
  </si>
  <si>
    <t>This control checks whether AI components and libraries are tracked in an asset inventory, patched, and monitored for security weaknesses. This reduces risks of supply-chain attacks or library exploits.</t>
  </si>
  <si>
    <t>AI, SC</t>
  </si>
  <si>
    <t>This control checks whether MSIL ensures that all integrations such as APIs, ETL processes, and business hooks (bhooks) are properly inventoried, mapped to specific data flows, and explicitly authorized by security and governance teams.
This is crucial for enforcing secure interconnectivity, managing third-party risks, and maintaining visibility over data movement across systems. Unauthorized or undocumented integrations can easily become backdoors for data leaks or policy violations, so governance here acts like air traffic control every connection is logged, cleared, and monitored.</t>
  </si>
  <si>
    <t>This control checks whether MSIL ensures that backups are encrypted both at rest and in transit and are routinely tested for integrity to confirm they can be successfully restored when needed.
This is essential to protect backup data from unauthorized access or tampering, and to ensure business continuity and disaster recovery readiness. After all, a backup is only as good as its ability to bounce back when it counts.</t>
  </si>
  <si>
    <t>This control checks whether MSIL manages and restricts browser plugins or extensions ensuring that only approved, secure add-ons can interact with corporate SaaS applications, especially those handling sensitive data.
Uncontrolled extensions can act as hidden siphons or backdoors, potentially capturing credentials, session tokens, or corporate content.</t>
  </si>
  <si>
    <t>This control checks whether MSIL logs all changes to configurations and policies and ensures that those changes are periodically reviewed by authorized personnel.
This is essential to detect unauthorized or accidental modifications, support audit and compliance efforts, and maintain confidence in the integrity and consistency of MSIL’s security and operational posture. Think of it as both the security camera and the detective reviewing the footage.</t>
  </si>
  <si>
    <t>This control checks whether MSIL scans its code repositories both public and private for hardcoded secrets, API tokens, credentials, or misconfigured files that could lead to security breaches if exposed.
This is crucial for protecting sensitive information from accidental leaks, especially in CI/CD pipelines, and ensures proactive remediation before attackers can exploit these weaknesses. Think of it as setting a trap for secrets before they sneak into production.</t>
  </si>
  <si>
    <t>This control checks whether MSIL secures data pipeline jobs and cloud ETL tools using role-based access controls. Role-based access ensures only authorized users can access or manage these tools, helping prevent unauthorized changes, maintain data integrity, and support compliance with security policies.</t>
  </si>
  <si>
    <t>This control checks whether MSIL automatically de-provisions expired SaaS and PaaS accounts. Automated de-provisioning helps prevent unauthorized access by ensuring that inactive or obsolete accounts are promptly removed, reducing security risks and maintaining proper access hygiene.</t>
  </si>
  <si>
    <t>SC, AMF</t>
  </si>
  <si>
    <t>This control checks whether MSIL reviews and governs its file transfer methods, including FTP, SCP, and APIs. Proper governance ensures that data transfers follow security policies, reducing the risk of data leakage, unauthorized access, or misuse during transmission.</t>
  </si>
  <si>
    <t>This control checks whether MSIL generates logs for both control-plane and data-plane events capturing administrative actions (e.g., config changes, access grants) and operational activities (e.g., data reads/writes, service usage).
This is key to ensure full visibility across environments, support for forensic investigations, compliance auditing, and proactive threat detection. If it moves, changes, or accesses there should be a log for it.</t>
  </si>
  <si>
    <t>This control checks whether MSIL centralizes log storage for example, by using a Security Information and Event Management (SIEM) system or cloud-native log aggregation tools.
This is critical to enable correlation, analysis, and alerting across environments, streamline incident response, and ensure compliance with security and audit requirements. When logs live together, they can tell a much clearer story.</t>
  </si>
  <si>
    <t>This control checks whether MSIL ensures that logs are tamper-evident or immutable using mechanisms like object lock, WORM (write-once, read-many) storage, or blockchain-based hashing to prevent unauthorized changes or deletions.
This is crucial for maintaining log integrity, audit trustworthiness, and regulatory compliance ensuring that once an event is logged, it stays intact as verifiable evidence.</t>
  </si>
  <si>
    <t>This control checks whether MSIL centrally manages and regularly rotates machine identities such as certificates and API keys. Centralized management and periodic rotation help prevent unauthorized access, reduce the risk of credential compromise, and ensure consistent enforcement of security policies.</t>
  </si>
  <si>
    <t>This control checks whether MSIL governs mobile devices accessing SaaS applications using Mobile Device Management (MDM) or Mobile Application Management (MAM) policies. These controls help enforce security settings, manage data access, and prevent unauthorized use, ensuring that mobile endpoints comply with organizational security standards.</t>
  </si>
  <si>
    <t>AS (Asset Security), DS (Data Security)</t>
  </si>
  <si>
    <t>This control verifies that specific system components (databases, applications, APIs) implement privacy safeguards such as tokenization, zero-knowledge proofs, or fine-grained access control.</t>
  </si>
  <si>
    <t>This control checks whether MSIL has established governance mechanisms over SaaS-based collaboration tools like chat, file sharing, and video conferencing platforms to prevent misuse, data leakage, and non-compliant behavior.</t>
  </si>
  <si>
    <t>It checks whether MSIL regularly reviews cloud storage buckets and blobs to identify public exposure, misconfigured permissions, or overly broad access settings that could lead to unauthorized data disclosure.
This is required to ensure that sensitive data remains private, access is limited to only authorized users or services, and cloud storage policies comply with internal standards and regulatory expectations. It helps MSIL avoid accidental data leaks, meet compliance obligations, and maintain customer trust.</t>
  </si>
  <si>
    <t>This control checks whether MSIL enforces policies that prevent unmanaged or non-compliant devices from accessing sensitive SaaS applications and data ensuring that only corporate-approved endpoints with security controls (like MDM, encryption, updated OS, etc.) can connect.
This is a crucial gatekeeper for maintaining data confidentiality and endpoint hygiene, especially in remote or hybrid work environments. Enforcement is typically done through conditional access policies, device compliance checks, and integrations with identity providers (like Azure AD or Okta).</t>
  </si>
  <si>
    <t>AMF, SC</t>
  </si>
  <si>
    <t>This control checks whether MSIL ensures log access is limited to authorized personnel only and that all access activities are monitored and logged for auditing and security purposes.
This is vital to prevent unauthorized tampering or misuse of sensitive log data, support compliance requirements, and maintain full accountability over who views or modifies logs because the watchers must be watched too.</t>
  </si>
  <si>
    <t>This control checks whether MSIL actively analyzes alert fatigue meaning the volume and patterns of security alerts and uses those insights to adjust detection thresholds, suppress noise, and prioritize high-value signals.
Unfiltered alert storms can overwhelm analysts and lead to critical events being missed or delayed. That’s why smart tuning is vital: refining rules, reducing false positives, and calibrating sensitivity based on environmental baselines, historical behavior, and incident response outcomes.
Think of it as training your security system to stop barking at the mailman so it only raises the alarm when it truly matters.</t>
  </si>
  <si>
    <t>This control checks whether MSIL has established centralized alerting mechanisms typically via a Security Information and Event Management (SIEM) platform or equivalent that collect and trigger alerts for suspicious security events across all systems.
This is crucial to detect threats in real time, respond promptly, and unify security monitoring across environments, reducing blind spots and enabling coordinated defense. It’s the digital version of sounding the alarm when trouble’s brewing.</t>
  </si>
  <si>
    <t>This control checks whether MSIL regulates the use of DNS-over-HTTPS (DoH) on endpoints that access SaaS applications. Controlling DoH ensures visibility into DNS queries, supports threat detection, and prevents the bypassing of enterprise DNS filtering policies, thereby strengthening network security.</t>
  </si>
  <si>
    <t>This control checks whether MSIL’s email security posture is integrated with its SaaS ecosystem ensuring robust protection through standards like SPF (Sender Policy Framework), DKIM (DomainKeys Identified Mail), and DMARC (Domain-based Message Authentication, Reporting &amp; Conformance), alongside phishing and malware defense mechanisms.</t>
  </si>
  <si>
    <t>This control checks whether MSIL applies tokenization or masking to sensitive data before it is exposed in non-production environments. These techniques help protect confidential information by ensuring that real data is not accessible during development or testing, reducing the risk of data leaks and unauthorized access.</t>
  </si>
  <si>
    <t>This control checks whether MSIL enables session recording or detailed logging for high-risk administrative activities such as privileged access to production systems, sensitive data manipulation, or critical configuration changes.
These recordings or logs capture the full context of what admins do during a session including keystrokes, commands executed, and screen activity providing an audit trail for investigations, compliance, and deterrence. They're often triggered based on role, asset sensitivity, or elevated access requests.
Think of it like a flight recorder in a cockpit: not to micromanage, but to understand exactly what happened if something goes wrong.</t>
  </si>
  <si>
    <t>This control checks whether MSIL actively conducts Shadow IT discovery identifying unauthorized or unsanctioned use of SaaS, PaaS, or cloud services and addresses it through formal policies and automated tooling.</t>
  </si>
  <si>
    <t>This control checks whether MSIL has a documented recovery strategy in place specifically for SaaS and PaaS outages covering how critical services will be restored, alternative access paths, roles and responsibilities, and communication procedures during downtime.
This is essential to ensure resilience, minimize disruption, and maintain business continuity when relying on third-party platforms that MSIL doesn’t fully control. Preparedness isn’t just about backup systems it’s also about having a clear playbook when platforms go dark.</t>
  </si>
  <si>
    <t>This control checks whether MSIL has an automated mechanism in place to detect misconfigured storage resources, such as S3 buckets. Automated detection helps identify issues like open access or improper permissions early, reducing the risk of data exposure or unauthorized access.</t>
  </si>
  <si>
    <t>This control checks whether MSIL has a defined log retention policy that aligns with applicable compliance requirements such as GDPR, HIPAA, PCI DSS, or industry-specific mandates by retaining logs for a sufficient duration (e.g., 90 days, 1 year, or more) and disposing of them securely afterward.
This is key to ensure MSIL can support audits, investigations, and regulatory obligations, while also minimizing unnecessary data retention and storage costs. When retention is right-sized and compliant, it’s easier to trace the past while protecting the future.</t>
  </si>
  <si>
    <t>Checklist Item</t>
  </si>
  <si>
    <t>Remarks (EPMS Architecture Compliance Note)</t>
  </si>
  <si>
    <r>
      <t>Complied / To be formalized in governance RACI.</t>
    </r>
    <r>
      <rPr>
        <sz val="11"/>
        <color theme="1"/>
        <rFont val="Calibri"/>
        <family val="2"/>
        <scheme val="minor"/>
      </rPr>
      <t xml:space="preserve"> EPMS defines Admin, Governance Head, CoE Head, Project Manager, Business Partner, Security Team, Cloud Ops, and Integration Owners. These roles should be documented in the architecture governance model and operating model.</t>
    </r>
  </si>
  <si>
    <r>
      <t>Partially complied.</t>
    </r>
    <r>
      <rPr>
        <sz val="11"/>
        <color theme="1"/>
        <rFont val="Calibri"/>
        <family val="2"/>
        <scheme val="minor"/>
      </rPr>
      <t xml:space="preserve"> EPMS NFRs and uptime expectations should be explicitly mapped to internal risk tolerance, incident severity thresholds, and recovery objectives (RTO/RPO) in the architecture and support model.</t>
    </r>
  </si>
  <si>
    <r>
      <t>Partially complied.</t>
    </r>
    <r>
      <rPr>
        <sz val="11"/>
        <color theme="1"/>
        <rFont val="Calibri"/>
        <family val="2"/>
        <scheme val="minor"/>
      </rPr>
      <t xml:space="preserve"> EPMS should include privacy notice, consent handling where relevant, role-based visibility, auditability, and controlled exposure of personal/project data. Legal disclosures should be addressed in UI and policy documentation.</t>
    </r>
  </si>
  <si>
    <r>
      <t>Partially complied.</t>
    </r>
    <r>
      <rPr>
        <sz val="11"/>
        <color theme="1"/>
        <rFont val="Calibri"/>
        <family val="2"/>
        <scheme val="minor"/>
      </rPr>
      <t xml:space="preserve"> EPMS security controls align broadly with OWASP, ISO-style controls, encryption, IAM, logging, and retention. Formal control mapping to applicable regulations should be added in the compliance appendix.</t>
    </r>
  </si>
  <si>
    <t>Does the cloud / infra usage align with enterprise risk tolerance defined in ISMS risk statements?</t>
  </si>
  <si>
    <r>
      <t>Complied subject to risk sign-off.</t>
    </r>
    <r>
      <rPr>
        <sz val="11"/>
        <color theme="1"/>
        <rFont val="Calibri"/>
        <family val="2"/>
        <scheme val="minor"/>
      </rPr>
      <t xml:space="preserve"> EPMS uses segmented VPCs, KMS, IAM, TLS, WAF, DDoS protection, monitoring, and restricted admin access. Final alignment should be validated through ISMS risk assessment and architecture review board approval.</t>
    </r>
  </si>
  <si>
    <r>
      <t>Partially complied.</t>
    </r>
    <r>
      <rPr>
        <sz val="11"/>
        <color theme="1"/>
        <rFont val="Calibri"/>
        <family val="2"/>
        <scheme val="minor"/>
      </rPr>
      <t xml:space="preserve"> EPMS architecture assumes classification of transactional data, governance data, documents, logs, and AI-related data. Formal CIA classification matrix should be maintained and linked to controls.</t>
    </r>
  </si>
  <si>
    <r>
      <t>Partially complied.</t>
    </r>
    <r>
      <rPr>
        <sz val="11"/>
        <color theme="1"/>
        <rFont val="Calibri"/>
        <family val="2"/>
        <scheme val="minor"/>
      </rPr>
      <t xml:space="preserve"> EPMS AI architecture includes AI Orchestrator, access controls, auditability, and retrieval scoping. Business and ethical AI principles should be documented separately in AI governance policy.</t>
    </r>
  </si>
  <si>
    <r>
      <t>Partially complied.</t>
    </r>
    <r>
      <rPr>
        <sz val="11"/>
        <color theme="1"/>
        <rFont val="Calibri"/>
        <family val="2"/>
        <scheme val="minor"/>
      </rPr>
      <t xml:space="preserve"> EPMS architecture supports encryption, least privilege, logging, and masking. Privacy objectives, lawful basis, retention, and DSAR obligations should be documented at enterprise/data governance level.</t>
    </r>
  </si>
  <si>
    <r>
      <t>Partially complied.</t>
    </r>
    <r>
      <rPr>
        <sz val="11"/>
        <color theme="1"/>
        <rFont val="Calibri"/>
        <family val="2"/>
        <scheme val="minor"/>
      </rPr>
      <t xml:space="preserve"> EPMS is architected for AWS with controlled use of PaaS/SaaS integrations. Formal documentation of cloud adoption risk appetite should be included in enterprise architecture decision records.</t>
    </r>
  </si>
  <si>
    <t>Have business-critical processes been mapped to cloud services (SaaS / PaaS / whatever applicable)?</t>
  </si>
  <si>
    <r>
      <t>Partially complied.</t>
    </r>
    <r>
      <rPr>
        <sz val="11"/>
        <color theme="1"/>
        <rFont val="Calibri"/>
        <family val="2"/>
        <scheme val="minor"/>
      </rPr>
      <t xml:space="preserve"> Core EPMS processes are mapped to BFF, orchestrators, microservices, data stores, AI services, and integrations. A business capability to cloud-service mapping matrix should be attached to the HLD.</t>
    </r>
  </si>
  <si>
    <r>
      <t>To be confirmed.</t>
    </r>
    <r>
      <rPr>
        <sz val="11"/>
        <color theme="1"/>
        <rFont val="Calibri"/>
        <family val="2"/>
        <scheme val="minor"/>
      </rPr>
      <t xml:space="preserve"> EPMS should explicitly document selected AWS regions, data residency requirements, backup region strategy, and whether sensitive data remains within approved jurisdictions.</t>
    </r>
  </si>
  <si>
    <r>
      <t>Partially complied.</t>
    </r>
    <r>
      <rPr>
        <sz val="11"/>
        <color theme="1"/>
        <rFont val="Calibri"/>
        <family val="2"/>
        <scheme val="minor"/>
      </rPr>
      <t xml:space="preserve"> EPMS includes backup, monitoring, segmented deployment, and DR-oriented architecture. A linked BCP/DR plan with dependency mapping must be maintained operationally.</t>
    </r>
  </si>
  <si>
    <t>Is there an enterprise-wide inventory of SaaS/PaaS/Infrastructure/Application vendors with service details?</t>
  </si>
  <si>
    <r>
      <t>To be completed.</t>
    </r>
    <r>
      <rPr>
        <sz val="11"/>
        <color theme="1"/>
        <rFont val="Calibri"/>
        <family val="2"/>
        <scheme val="minor"/>
      </rPr>
      <t xml:space="preserve"> EPMS architecture identifies AWS, identity provider, GenAI platform, JIRA, Zendesk, SAP SuccessFactors, Jenkins, etc. A formal vendor inventory should be maintained in enterprise architecture / third-party risk repository.</t>
    </r>
  </si>
  <si>
    <r>
      <t>Governance requirement.</t>
    </r>
    <r>
      <rPr>
        <sz val="11"/>
        <color theme="1"/>
        <rFont val="Calibri"/>
        <family val="2"/>
        <scheme val="minor"/>
      </rPr>
      <t xml:space="preserve"> EPMS architecture assumes project sponsorship exists; it should be documented in the program charter and architecture governance records.</t>
    </r>
  </si>
  <si>
    <r>
      <t>Complied subject to formal sign-off.</t>
    </r>
    <r>
      <rPr>
        <sz val="11"/>
        <color theme="1"/>
        <rFont val="Calibri"/>
        <family val="2"/>
        <scheme val="minor"/>
      </rPr>
      <t xml:space="preserve"> EPMS security decisions such as Zero Trust, defense in depth, segmented VPCs, JWT validation at multiple layers, TLS/mTLS, and KMS-based encryption should be approved through architecture/security review boards.</t>
    </r>
  </si>
  <si>
    <r>
      <t>Complied at architecture level.</t>
    </r>
    <r>
      <rPr>
        <sz val="11"/>
        <color theme="1"/>
        <rFont val="Calibri"/>
        <family val="2"/>
        <scheme val="minor"/>
      </rPr>
      <t xml:space="preserve"> EPMS maps integrations via Integration Microservices / adapters for external systems and shared enterprise services. A dependency matrix should be maintained.</t>
    </r>
  </si>
  <si>
    <r>
      <t>Complied conceptually.</t>
    </r>
    <r>
      <rPr>
        <sz val="11"/>
        <color theme="1"/>
        <rFont val="Calibri"/>
        <family val="2"/>
        <scheme val="minor"/>
      </rPr>
      <t xml:space="preserve"> EPMS defines trust boundaries using edge zone, application VPC, data VPC, AI VPC, and external integration boundary. Formal trust zone classification should be included in the security zoning view.</t>
    </r>
  </si>
  <si>
    <r>
      <t>Partially complied.</t>
    </r>
    <r>
      <rPr>
        <sz val="11"/>
        <color theme="1"/>
        <rFont val="Calibri"/>
        <family val="2"/>
        <scheme val="minor"/>
      </rPr>
      <t xml:space="preserve"> Architecture supports least privilege and limited exposure; explicit policy statements should be referenced from privacy governance documentation.</t>
    </r>
  </si>
  <si>
    <r>
      <t>Complied in principle.</t>
    </r>
    <r>
      <rPr>
        <sz val="11"/>
        <color theme="1"/>
        <rFont val="Calibri"/>
        <family val="2"/>
        <scheme val="minor"/>
      </rPr>
      <t xml:space="preserve"> Identity provider, Admin functions, IAM roles, service identities, onboarding/offboarding, and privileged access monitoring should be assigned to IAM/Cloud Security Ops and application admins.</t>
    </r>
  </si>
  <si>
    <t>Are SaaS/PaaS/application/infrastructure service categories (e.g., HRMS, CRM, DevOps) mapped to internal domains?</t>
  </si>
  <si>
    <r>
      <t>Partially complied.</t>
    </r>
    <r>
      <rPr>
        <sz val="11"/>
        <color theme="1"/>
        <rFont val="Calibri"/>
        <family val="2"/>
        <scheme val="minor"/>
      </rPr>
      <t xml:space="preserve"> EPMS identifies integrations and platform services; a service categorization matrix should be added for governance and risk management.</t>
    </r>
  </si>
  <si>
    <t>Are trust zones defined for workloads (e.g., internal, SaaS, PaaS, Internal Zone, APIs, 3rd party)?</t>
  </si>
  <si>
    <r>
      <t>Complied.</t>
    </r>
    <r>
      <rPr>
        <sz val="11"/>
        <color theme="1"/>
        <rFont val="Calibri"/>
        <family val="2"/>
        <scheme val="minor"/>
      </rPr>
      <t xml:space="preserve"> EPMS uses distinct zones/VPCs for business services, data, AI services, edge security, and third-party integration boundaries.</t>
    </r>
  </si>
  <si>
    <r>
      <t>Complied conceptually; review required.</t>
    </r>
    <r>
      <rPr>
        <sz val="11"/>
        <color theme="1"/>
        <rFont val="Calibri"/>
        <family val="2"/>
        <scheme val="minor"/>
      </rPr>
      <t xml:space="preserve"> EPMS security flowcharts and sequence diagrams identify token flow, service flow, storage access, and AI interactions. Sensitive-data review should be documented.</t>
    </r>
  </si>
  <si>
    <r>
      <t>Partially complied.</t>
    </r>
    <r>
      <rPr>
        <sz val="11"/>
        <color theme="1"/>
        <rFont val="Calibri"/>
        <family val="2"/>
        <scheme val="minor"/>
      </rPr>
      <t xml:space="preserve"> EPMS AI orchestration includes access control, prompt audit, retrieval scoping, and logging. Formal AI governance structure should be documented separately.</t>
    </r>
  </si>
  <si>
    <t>Have high-level security objectives been mapped to cloud service / application / infrastructure providers?</t>
  </si>
  <si>
    <r>
      <t>Complied conceptually.</t>
    </r>
    <r>
      <rPr>
        <sz val="11"/>
        <color theme="1"/>
        <rFont val="Calibri"/>
        <family val="2"/>
        <scheme val="minor"/>
      </rPr>
      <t xml:space="preserve"> AWS services are mapped to encryption, IAM, monitoring, secrets, and edge protection. Additional provider-specific control traceability should be documented.</t>
    </r>
  </si>
  <si>
    <r>
      <t>Partially complied.</t>
    </r>
    <r>
      <rPr>
        <sz val="11"/>
        <color theme="1"/>
        <rFont val="Calibri"/>
        <family val="2"/>
        <scheme val="minor"/>
      </rPr>
      <t xml:space="preserve"> EPMS zones can map to security services such as WAF, Shield, Firewall, IAM, KMS, Secrets Manager, SIEM, AppDynamics. A zone-wise service catalogue should be added.</t>
    </r>
  </si>
  <si>
    <r>
      <t>Partially complied.</t>
    </r>
    <r>
      <rPr>
        <sz val="11"/>
        <color theme="1"/>
        <rFont val="Calibri"/>
        <family val="2"/>
        <scheme val="minor"/>
      </rPr>
      <t xml:space="preserve"> Sensitive data can be restricted through RBAC/ABAC and service-level authorization. Formal classification-to-access matrix should be added.</t>
    </r>
  </si>
  <si>
    <r>
      <t>Complied.</t>
    </r>
    <r>
      <rPr>
        <sz val="11"/>
        <color theme="1"/>
        <rFont val="Calibri"/>
        <family val="2"/>
        <scheme val="minor"/>
      </rPr>
      <t xml:space="preserve"> EPMS standardizes on OAuth2 / OIDC / JWT for application access, with enterprise identity integration and MFA for privileged access.</t>
    </r>
  </si>
  <si>
    <r>
      <t>Complied.</t>
    </r>
    <r>
      <rPr>
        <sz val="11"/>
        <color theme="1"/>
        <rFont val="Calibri"/>
        <family val="2"/>
        <scheme val="minor"/>
      </rPr>
      <t xml:space="preserve"> EPMS architecture includes centralized logging, SIEM/QRadar, audit logging for admin/configuration actions, and monitoring integration. Review cadence should be defined operationally.</t>
    </r>
  </si>
  <si>
    <r>
      <t>Partially complied.</t>
    </r>
    <r>
      <rPr>
        <sz val="11"/>
        <color theme="1"/>
        <rFont val="Calibri"/>
        <family val="2"/>
        <scheme val="minor"/>
      </rPr>
      <t xml:space="preserve"> EPMS can support prompt/output logging and policy controls. Bias, explainability, and model validation controls should be documented for AI use cases where applicable.</t>
    </r>
  </si>
  <si>
    <r>
      <t>Complied.</t>
    </r>
    <r>
      <rPr>
        <sz val="11"/>
        <color theme="1"/>
        <rFont val="Calibri"/>
        <family val="2"/>
        <scheme val="minor"/>
      </rPr>
      <t xml:space="preserve"> EPMS uses JWT/OAuth2 for user access and secure service credentials/API keys for integrations. Token/key rotation policy should be defined for service identities and machine credentials.</t>
    </r>
  </si>
  <si>
    <r>
      <t>Complied by design.</t>
    </r>
    <r>
      <rPr>
        <sz val="11"/>
        <color theme="1"/>
        <rFont val="Calibri"/>
        <family val="2"/>
        <scheme val="minor"/>
      </rPr>
      <t xml:space="preserve"> Backup access should use dedicated backup identities/roles, separate KMS permissions, and no shared production admin access.</t>
    </r>
  </si>
  <si>
    <t>Are data flows documented across boundaries (e.g., SaaS / PaaS/ On-prem / Applications/ Cloud)?</t>
  </si>
  <si>
    <r>
      <t>Complied.</t>
    </r>
    <r>
      <rPr>
        <sz val="11"/>
        <color theme="1"/>
        <rFont val="Calibri"/>
        <family val="2"/>
        <scheme val="minor"/>
      </rPr>
      <t xml:space="preserve"> EPMS communication matrix, flowcharts, and integration architecture document data flow across application, AI, data, and external integration boundaries.</t>
    </r>
  </si>
  <si>
    <r>
      <t>Partially complied.</t>
    </r>
    <r>
      <rPr>
        <sz val="11"/>
        <color theme="1"/>
        <rFont val="Calibri"/>
        <family val="2"/>
        <scheme val="minor"/>
      </rPr>
      <t xml:space="preserve"> EPMS architecture limits sensitive caching, encrypts data, and restricts access. Endpoint DLP, clipboard control, and download/export restrictions should be covered in operational controls.</t>
    </r>
  </si>
  <si>
    <r>
      <t>To be documented.</t>
    </r>
    <r>
      <rPr>
        <sz val="11"/>
        <color theme="1"/>
        <rFont val="Calibri"/>
        <family val="2"/>
        <scheme val="minor"/>
      </rPr>
      <t xml:space="preserve"> EPMS should enforce masking/redaction for reports, exports, logs, and non-production extracts where sensitive data may be exposed.</t>
    </r>
  </si>
  <si>
    <r>
      <t>To be integrated with enterprise controls.</t>
    </r>
    <r>
      <rPr>
        <sz val="11"/>
        <color theme="1"/>
        <rFont val="Calibri"/>
        <family val="2"/>
        <scheme val="minor"/>
      </rPr>
      <t xml:space="preserve"> EPMS architecture supports secure data handling, but DLP enforcement typically depends on enterprise endpoint/SaaS governance tooling.</t>
    </r>
  </si>
  <si>
    <r>
      <t>Recommended.</t>
    </r>
    <r>
      <rPr>
        <sz val="11"/>
        <color theme="1"/>
        <rFont val="Calibri"/>
        <family val="2"/>
        <scheme val="minor"/>
      </rPr>
      <t xml:space="preserve"> EPMS cloud resources should use tagging for environment, owner, sensitivity, cost center, and policy enforcement.</t>
    </r>
  </si>
  <si>
    <r>
      <t>To be confirmed with enterprise environment.</t>
    </r>
    <r>
      <rPr>
        <sz val="11"/>
        <color theme="1"/>
        <rFont val="Calibri"/>
        <family val="2"/>
        <scheme val="minor"/>
      </rPr>
      <t xml:space="preserve"> EPMS should align with existing enterprise CASB/SWG/DLP strategy where SaaS tooling is used.</t>
    </r>
  </si>
  <si>
    <r>
      <t>Complied.</t>
    </r>
    <r>
      <rPr>
        <sz val="11"/>
        <color theme="1"/>
        <rFont val="Calibri"/>
        <family val="2"/>
        <scheme val="minor"/>
      </rPr>
      <t xml:space="preserve"> EPMS protects service-to-service traffic with TLS and recommends mTLS in service mesh environments for internal calls.</t>
    </r>
  </si>
  <si>
    <r>
      <t>Complied at design level.</t>
    </r>
    <r>
      <rPr>
        <sz val="11"/>
        <color theme="1"/>
        <rFont val="Calibri"/>
        <family val="2"/>
        <scheme val="minor"/>
      </rPr>
      <t xml:space="preserve"> Identity/session policies should enforce timeouts, idle logout, and re-authentication for high-risk admin flows.</t>
    </r>
  </si>
  <si>
    <r>
      <t>Complied by policy intent.</t>
    </r>
    <r>
      <rPr>
        <sz val="11"/>
        <color theme="1"/>
        <rFont val="Calibri"/>
        <family val="2"/>
        <scheme val="minor"/>
      </rPr>
      <t xml:space="preserve"> EPMS should use named identities, IAM roles, service accounts, and machine identities; shared accounts are discouraged and must be exception-managed.</t>
    </r>
  </si>
  <si>
    <r>
      <t>Complied partially.</t>
    </r>
    <r>
      <rPr>
        <sz val="11"/>
        <color theme="1"/>
        <rFont val="Calibri"/>
        <family val="2"/>
        <scheme val="minor"/>
      </rPr>
      <t xml:space="preserve"> EPMS uses JWT validation at multiple layers, issuer/audience/expiry validation, MFA, TLS, and least privilege. Additional replay detection and token hardening should be handled by IdP/policy.</t>
    </r>
  </si>
  <si>
    <r>
      <t>Partially complied.</t>
    </r>
    <r>
      <rPr>
        <sz val="11"/>
        <color theme="1"/>
        <rFont val="Calibri"/>
        <family val="2"/>
        <scheme val="minor"/>
      </rPr>
      <t xml:space="preserve"> EPMS supports encryption, masking, role restriction, and retention controls. Pseudonymization/consent handling should be documented where personal data is in scope.</t>
    </r>
  </si>
  <si>
    <r>
      <t>Complied.</t>
    </r>
    <r>
      <rPr>
        <sz val="11"/>
        <color theme="1"/>
        <rFont val="Calibri"/>
        <family val="2"/>
        <scheme val="minor"/>
      </rPr>
      <t xml:space="preserve"> EPMS explicitly uses separate VPCs/zones for app services, data, and AI services with controlled communication.</t>
    </r>
  </si>
  <si>
    <r>
      <t>To be confirmed.</t>
    </r>
    <r>
      <rPr>
        <sz val="11"/>
        <color theme="1"/>
        <rFont val="Calibri"/>
        <family val="2"/>
        <scheme val="minor"/>
      </rPr>
      <t xml:space="preserve"> EPMS region selection and third-party AI/external integrations must be reviewed for data transfer restrictions and residency requirements.</t>
    </r>
  </si>
  <si>
    <r>
      <t>Complied.</t>
    </r>
    <r>
      <rPr>
        <sz val="11"/>
        <color theme="1"/>
        <rFont val="Calibri"/>
        <family val="2"/>
        <scheme val="minor"/>
      </rPr>
      <t xml:space="preserve"> EPMS mandates TLS 1.2+/1.3 across user, service, database, event, and integration communication paths.</t>
    </r>
  </si>
  <si>
    <r>
      <t>Complied.</t>
    </r>
    <r>
      <rPr>
        <sz val="11"/>
        <color theme="1"/>
        <rFont val="Calibri"/>
        <family val="2"/>
        <scheme val="minor"/>
      </rPr>
      <t xml:space="preserve"> EPMS uses AES-256 and AWS KMS-backed encryption for DBs, files, logs, and backups.</t>
    </r>
  </si>
  <si>
    <r>
      <t>Complied by design.</t>
    </r>
    <r>
      <rPr>
        <sz val="11"/>
        <color theme="1"/>
        <rFont val="Calibri"/>
        <family val="2"/>
        <scheme val="minor"/>
      </rPr>
      <t xml:space="preserve"> EPMS requires MFA for Admin and privileged personas through enterprise identity provider policy.</t>
    </r>
  </si>
  <si>
    <r>
      <t>Complied in architecture.</t>
    </r>
    <r>
      <rPr>
        <sz val="11"/>
        <color theme="1"/>
        <rFont val="Calibri"/>
        <family val="2"/>
        <scheme val="minor"/>
      </rPr>
      <t xml:space="preserve"> EPMS enforces RBAC at platform/BFF level and ABAC/contextual checks at microservice/service layer.</t>
    </r>
  </si>
  <si>
    <r>
      <t>If multi-tenant, to be documented.</t>
    </r>
    <r>
      <rPr>
        <sz val="11"/>
        <color theme="1"/>
        <rFont val="Calibri"/>
        <family val="2"/>
        <scheme val="minor"/>
      </rPr>
      <t xml:space="preserve"> EPMS should support logical isolation via role/context boundaries, scoped queries, and possibly tenant-aware encryption or schema segregation if needed.</t>
    </r>
  </si>
  <si>
    <r>
      <t>To align with enterprise IAM.</t>
    </r>
    <r>
      <rPr>
        <sz val="11"/>
        <color theme="1"/>
        <rFont val="Calibri"/>
        <family val="2"/>
        <scheme val="minor"/>
      </rPr>
      <t xml:space="preserve"> EPMS should rely on centralized identity lifecycle via enterprise IdP/IGA and internal role mapping.</t>
    </r>
  </si>
  <si>
    <r>
      <t>Complied conceptually.</t>
    </r>
    <r>
      <rPr>
        <sz val="11"/>
        <color theme="1"/>
        <rFont val="Calibri"/>
        <family val="2"/>
        <scheme val="minor"/>
      </rPr>
      <t xml:space="preserve"> EPMS should separate role assignment, approval, and periodic review between Admin, IAM team, and approvers.</t>
    </r>
  </si>
  <si>
    <t>Are all SaaS/PaaS/Infrastructure/Application/Cloud services monitored for uptime, SLA violations, and alerts?</t>
  </si>
  <si>
    <r>
      <t>Complied partially.</t>
    </r>
    <r>
      <rPr>
        <sz val="11"/>
        <color theme="1"/>
        <rFont val="Calibri"/>
        <family val="2"/>
        <scheme val="minor"/>
      </rPr>
      <t xml:space="preserve"> EPMS uses CloudWatch, AppDynamics, SIEM, and platform monitoring. SLA alert thresholds and service dashboards should be configured operationally.</t>
    </r>
  </si>
  <si>
    <r>
      <t>Recommended.</t>
    </r>
    <r>
      <rPr>
        <sz val="11"/>
        <color theme="1"/>
        <rFont val="Calibri"/>
        <family val="2"/>
        <scheme val="minor"/>
      </rPr>
      <t xml:space="preserve"> EPMS architecture deviations should be governed via change control/ADR process and security review.</t>
    </r>
  </si>
  <si>
    <r>
      <t>Complied partially.</t>
    </r>
    <r>
      <rPr>
        <sz val="11"/>
        <color theme="1"/>
        <rFont val="Calibri"/>
        <family val="2"/>
        <scheme val="minor"/>
      </rPr>
      <t xml:space="preserve"> EPMS logs admin actions, access, service events, and can generate audit evidence through centralized logging. Formal compliance evidence automation should be defined.</t>
    </r>
  </si>
  <si>
    <r>
      <t>Complied partially.</t>
    </r>
    <r>
      <rPr>
        <sz val="11"/>
        <color theme="1"/>
        <rFont val="Calibri"/>
        <family val="2"/>
        <scheme val="minor"/>
      </rPr>
      <t xml:space="preserve"> AWS/configuration monitoring tools should be used to baseline security groups, IAM, KMS, bucket settings, and runtime configurations.</t>
    </r>
  </si>
  <si>
    <r>
      <t>Operational control required.</t>
    </r>
    <r>
      <rPr>
        <sz val="11"/>
        <color theme="1"/>
        <rFont val="Calibri"/>
        <family val="2"/>
        <scheme val="minor"/>
      </rPr>
      <t xml:space="preserve"> EPMS should align with enterprise IAM recertification and dormant-account review process.</t>
    </r>
  </si>
  <si>
    <t>Are emergency access (‘break glass’) accounts tested and logged?</t>
  </si>
  <si>
    <r>
      <t>Recommended.</t>
    </r>
    <r>
      <rPr>
        <sz val="11"/>
        <color theme="1"/>
        <rFont val="Calibri"/>
        <family val="2"/>
        <scheme val="minor"/>
      </rPr>
      <t xml:space="preserve"> Break-glass access, if used, should be tightly restricted, logged, MFA-protected, and periodically tested.</t>
    </r>
  </si>
  <si>
    <r>
      <t>Required governance control.</t>
    </r>
    <r>
      <rPr>
        <sz val="11"/>
        <color theme="1"/>
        <rFont val="Calibri"/>
        <family val="2"/>
        <scheme val="minor"/>
      </rPr>
      <t xml:space="preserve"> EPMS security exceptions should be documented in risk register/change control with approver sign-off.</t>
    </r>
  </si>
  <si>
    <r>
      <t>Partially complied.</t>
    </r>
    <r>
      <rPr>
        <sz val="11"/>
        <color theme="1"/>
        <rFont val="Calibri"/>
        <family val="2"/>
        <scheme val="minor"/>
      </rPr>
      <t xml:space="preserve"> EPMS architecture supports logging and detection; incident response playbooks for token compromise, data leakage, integration failure, cloud outage, and AI misuse should be defined.</t>
    </r>
  </si>
  <si>
    <r>
      <t>Complied through DevSecOps intent.</t>
    </r>
    <r>
      <rPr>
        <sz val="11"/>
        <color theme="1"/>
        <rFont val="Calibri"/>
        <family val="2"/>
        <scheme val="minor"/>
      </rPr>
      <t xml:space="preserve"> EPMS uses vulnerability scanning and should define remediation SLAs by severity.</t>
    </r>
  </si>
  <si>
    <r>
      <t>Recommended.</t>
    </r>
    <r>
      <rPr>
        <sz val="11"/>
        <color theme="1"/>
        <rFont val="Calibri"/>
        <family val="2"/>
        <scheme val="minor"/>
      </rPr>
      <t xml:space="preserve"> Infrastructure changes should integrate with monitoring and change approval to detect drift and impact.</t>
    </r>
  </si>
  <si>
    <t>Are operational dashboards used to monitor key SaaS/PaaS /Infrastructure / Application health/security metrics?</t>
  </si>
  <si>
    <r>
      <t>Complied.</t>
    </r>
    <r>
      <rPr>
        <sz val="11"/>
        <color theme="1"/>
        <rFont val="Calibri"/>
        <family val="2"/>
        <scheme val="minor"/>
      </rPr>
      <t xml:space="preserve"> EPMS uses AppDynamics, CloudWatch, SIEM/QRadar, and logs; dashboard definitions should include security KPIs and service availability metrics.</t>
    </r>
  </si>
  <si>
    <t>Are operational processes in place for DSARs, breach notifications, and ongoing compliance monitoring?</t>
  </si>
  <si>
    <r>
      <t>To be established if personal data applies.</t>
    </r>
    <r>
      <rPr>
        <sz val="11"/>
        <color theme="1"/>
        <rFont val="Calibri"/>
        <family val="2"/>
        <scheme val="minor"/>
      </rPr>
      <t xml:space="preserve"> EPMS architecture supports logging and data discovery foundations; operational privacy workflows must be defined separately.</t>
    </r>
  </si>
  <si>
    <r>
      <t>Recommended.</t>
    </r>
    <r>
      <rPr>
        <sz val="11"/>
        <color theme="1"/>
        <rFont val="Calibri"/>
        <family val="2"/>
        <scheme val="minor"/>
      </rPr>
      <t xml:space="preserve"> EPMS findings from monitoring, security scans, and audits should feed enterprise GRC where available.</t>
    </r>
  </si>
  <si>
    <r>
      <t>Recommended / governance control.</t>
    </r>
    <r>
      <rPr>
        <sz val="11"/>
        <color theme="1"/>
        <rFont val="Calibri"/>
        <family val="2"/>
        <scheme val="minor"/>
      </rPr>
      <t xml:space="preserve"> EPMS should include periodic architecture and security posture reviews.</t>
    </r>
  </si>
  <si>
    <r>
      <t>Recommended.</t>
    </r>
    <r>
      <rPr>
        <sz val="11"/>
        <color theme="1"/>
        <rFont val="Calibri"/>
        <family val="2"/>
        <scheme val="minor"/>
      </rPr>
      <t xml:space="preserve"> EPMS should adopt a security onboarding checklist for new integrations, AI tools, services, and cloud components.</t>
    </r>
  </si>
  <si>
    <r>
      <t>Required for third-party onboarding.</t>
    </r>
    <r>
      <rPr>
        <sz val="11"/>
        <color theme="1"/>
        <rFont val="Calibri"/>
        <family val="2"/>
        <scheme val="minor"/>
      </rPr>
      <t xml:space="preserve"> External providers used by EPMS should be assessed through third-party risk management.</t>
    </r>
  </si>
  <si>
    <r>
      <t>Recommended.</t>
    </r>
    <r>
      <rPr>
        <sz val="11"/>
        <color theme="1"/>
        <rFont val="Calibri"/>
        <family val="2"/>
        <scheme val="minor"/>
      </rPr>
      <t xml:space="preserve"> Critical EPMS third parties should be included in dependency-level DR/BCP considerations.</t>
    </r>
  </si>
  <si>
    <r>
      <t>Recommended / partially complied.</t>
    </r>
    <r>
      <rPr>
        <sz val="11"/>
        <color theme="1"/>
        <rFont val="Calibri"/>
        <family val="2"/>
        <scheme val="minor"/>
      </rPr>
      <t xml:space="preserve"> EPMS DevSecOps should include dependency inventory/SBOM generation where tooling permits.</t>
    </r>
  </si>
  <si>
    <r>
      <t>Required.</t>
    </r>
    <r>
      <rPr>
        <sz val="11"/>
        <color theme="1"/>
        <rFont val="Calibri"/>
        <family val="2"/>
        <scheme val="minor"/>
      </rPr>
      <t xml:space="preserve"> EPMS adapters/integrations and AI platforms should undergo third-party risk and security review before onboarding.</t>
    </r>
  </si>
  <si>
    <r>
      <t>Complied conceptually.</t>
    </r>
    <r>
      <rPr>
        <sz val="11"/>
        <color theme="1"/>
        <rFont val="Calibri"/>
        <family val="2"/>
        <scheme val="minor"/>
      </rPr>
      <t xml:space="preserve"> EPMS applies Zero Trust through layered validation, JWT checks at multiple layers, MFA, segmentation, least privilege, and secure service communication.</t>
    </r>
  </si>
  <si>
    <r>
      <t>Recommended.</t>
    </r>
    <r>
      <rPr>
        <sz val="11"/>
        <color theme="1"/>
        <rFont val="Calibri"/>
        <family val="2"/>
        <scheme val="minor"/>
      </rPr>
      <t xml:space="preserve"> EPMS should be included in annual red teaming / penetration testing / BAS scope.</t>
    </r>
  </si>
  <si>
    <r>
      <t>Partially complied.</t>
    </r>
    <r>
      <rPr>
        <sz val="11"/>
        <color theme="1"/>
        <rFont val="Calibri"/>
        <family val="2"/>
        <scheme val="minor"/>
      </rPr>
      <t xml:space="preserve"> AI orchestrator activity is auditable; drift and AI-specific monitoring should be added if predictive/ML models are in production.</t>
    </r>
  </si>
  <si>
    <r>
      <t>Recommended.</t>
    </r>
    <r>
      <rPr>
        <sz val="11"/>
        <color theme="1"/>
        <rFont val="Calibri"/>
        <family val="2"/>
        <scheme val="minor"/>
      </rPr>
      <t xml:space="preserve"> EPMS operations should require RCA for major incidents and review remediation actions.</t>
    </r>
  </si>
  <si>
    <r>
      <t>Recommended.</t>
    </r>
    <r>
      <rPr>
        <sz val="11"/>
        <color theme="1"/>
        <rFont val="Calibri"/>
        <family val="2"/>
        <scheme val="minor"/>
      </rPr>
      <t xml:space="preserve"> EPMS privileged roles should be periodically recertified through IAM governance.</t>
    </r>
  </si>
  <si>
    <r>
      <t>To be confirmed based on applicability.</t>
    </r>
    <r>
      <rPr>
        <sz val="11"/>
        <color theme="1"/>
        <rFont val="Calibri"/>
        <family val="2"/>
        <scheme val="minor"/>
      </rPr>
      <t xml:space="preserve"> Incident reporting obligations should be documented in the security operations model.</t>
    </r>
  </si>
  <si>
    <r>
      <t>Recommended.</t>
    </r>
    <r>
      <rPr>
        <sz val="11"/>
        <color theme="1"/>
        <rFont val="Calibri"/>
        <family val="2"/>
        <scheme val="minor"/>
      </rPr>
      <t xml:space="preserve"> EPMS cloud, AI, and integration risks should be tracked in the enterprise risk register.</t>
    </r>
  </si>
  <si>
    <r>
      <t>Recommended.</t>
    </r>
    <r>
      <rPr>
        <sz val="11"/>
        <color theme="1"/>
        <rFont val="Calibri"/>
        <family val="2"/>
        <scheme val="minor"/>
      </rPr>
      <t xml:space="preserve"> Critical EPMS vendors/providers should be reassessed periodically.</t>
    </r>
  </si>
  <si>
    <r>
      <t>Required operationally.</t>
    </r>
    <r>
      <rPr>
        <sz val="11"/>
        <color theme="1"/>
        <rFont val="Calibri"/>
        <family val="2"/>
        <scheme val="minor"/>
      </rPr>
      <t xml:space="preserve"> EPMS should define escalation matrix for AWS, IdP, GenAI platform, and integrated third-party services.</t>
    </r>
  </si>
  <si>
    <r>
      <t>Complied.</t>
    </r>
    <r>
      <rPr>
        <sz val="11"/>
        <color theme="1"/>
        <rFont val="Calibri"/>
        <family val="2"/>
        <scheme val="minor"/>
      </rPr>
      <t xml:space="preserve"> EPMS network design uses segmented VPCs, controlled security groups, and minimal inbound/outbound access.</t>
    </r>
  </si>
  <si>
    <r>
      <t>Complied by design if used.</t>
    </r>
    <r>
      <rPr>
        <sz val="11"/>
        <color theme="1"/>
        <rFont val="Calibri"/>
        <family val="2"/>
        <scheme val="minor"/>
      </rPr>
      <t xml:space="preserve"> EPMS external/private connectivity should be encrypted, monitored, and restricted.</t>
    </r>
  </si>
  <si>
    <r>
      <t>Recommended.</t>
    </r>
    <r>
      <rPr>
        <sz val="11"/>
        <color theme="1"/>
        <rFont val="Calibri"/>
        <family val="2"/>
        <scheme val="minor"/>
      </rPr>
      <t xml:space="preserve"> EPMS should enable cloud-native posture and vulnerability scanning tools in addition to application security tooling.</t>
    </r>
  </si>
  <si>
    <r>
      <t>Recommended / expected.</t>
    </r>
    <r>
      <rPr>
        <sz val="11"/>
        <color theme="1"/>
        <rFont val="Calibri"/>
        <family val="2"/>
        <scheme val="minor"/>
      </rPr>
      <t xml:space="preserve"> EPMS container images should be scanned in CI/CD and runtime as part of DevSecOps.</t>
    </r>
  </si>
  <si>
    <r>
      <t>Recommended.</t>
    </r>
    <r>
      <rPr>
        <sz val="11"/>
        <color theme="1"/>
        <rFont val="Calibri"/>
        <family val="2"/>
        <scheme val="minor"/>
      </rPr>
      <t xml:space="preserve"> EPMS public endpoints and DNS should use hardened DNS, restricted changes, logging, and secure routing policies.</t>
    </r>
  </si>
  <si>
    <r>
      <t>Recommended.</t>
    </r>
    <r>
      <rPr>
        <sz val="11"/>
        <color theme="1"/>
        <rFont val="Calibri"/>
        <family val="2"/>
        <scheme val="minor"/>
      </rPr>
      <t xml:space="preserve"> EPMS runtime nodes/build images should be hardened and baselined.</t>
    </r>
  </si>
  <si>
    <r>
      <t>Depends on platform model.</t>
    </r>
    <r>
      <rPr>
        <sz val="11"/>
        <color theme="1"/>
        <rFont val="Calibri"/>
        <family val="2"/>
        <scheme val="minor"/>
      </rPr>
      <t xml:space="preserve"> For managed/containerized EPMS workloads, equivalent runtime/container security tooling should be used where applicable.</t>
    </r>
  </si>
  <si>
    <r>
      <t>Required.</t>
    </r>
    <r>
      <rPr>
        <sz val="11"/>
        <color theme="1"/>
        <rFont val="Calibri"/>
        <family val="2"/>
        <scheme val="minor"/>
      </rPr>
      <t xml:space="preserve"> EPMS Spring Boot/Java runtime and all supporting runtimes must be maintained at supported patch levels.</t>
    </r>
  </si>
  <si>
    <r>
      <t>Complied.</t>
    </r>
    <r>
      <rPr>
        <sz val="11"/>
        <color theme="1"/>
        <rFont val="Calibri"/>
        <family val="2"/>
        <scheme val="minor"/>
      </rPr>
      <t xml:space="preserve"> EPMS environments should be separated by account/VPC/network, IAM, keys, and data boundaries.</t>
    </r>
  </si>
  <si>
    <r>
      <t>Recommended.</t>
    </r>
    <r>
      <rPr>
        <sz val="11"/>
        <color theme="1"/>
        <rFont val="Calibri"/>
        <family val="2"/>
        <scheme val="minor"/>
      </rPr>
      <t xml:space="preserve"> EPMS privileged infrastructure/admin access should follow JIT or tightly controlled standing privilege model.</t>
    </r>
  </si>
  <si>
    <r>
      <t>Recommended.</t>
    </r>
    <r>
      <rPr>
        <sz val="11"/>
        <color theme="1"/>
        <rFont val="Calibri"/>
        <family val="2"/>
        <scheme val="minor"/>
      </rPr>
      <t xml:space="preserve"> EPMS base images/nodes should follow hardened baselines and drift detection.</t>
    </r>
  </si>
  <si>
    <r>
      <t>Recommended.</t>
    </r>
    <r>
      <rPr>
        <sz val="11"/>
        <color theme="1"/>
        <rFont val="Calibri"/>
        <family val="2"/>
        <scheme val="minor"/>
      </rPr>
      <t xml:space="preserve"> EPMS Kubernetes/container environments should use namespaces, quotas, policies, and workload isolation.</t>
    </r>
  </si>
  <si>
    <r>
      <t>Applicable if EPMS trains models.</t>
    </r>
    <r>
      <rPr>
        <sz val="11"/>
        <color theme="1"/>
        <rFont val="Calibri"/>
        <family val="2"/>
        <scheme val="minor"/>
      </rPr>
      <t xml:space="preserve"> Access to AI pipelines, prompts, embeddings, and datasets should be controlled, logged, and integrity-protected.</t>
    </r>
  </si>
  <si>
    <r>
      <t>Recommended.</t>
    </r>
    <r>
      <rPr>
        <sz val="11"/>
        <color theme="1"/>
        <rFont val="Calibri"/>
        <family val="2"/>
        <scheme val="minor"/>
      </rPr>
      <t xml:space="preserve"> If bastion/jump access exists, it should be heavily restricted, MFA-protected, and logged.</t>
    </r>
  </si>
  <si>
    <r>
      <t>Complied by policy intent.</t>
    </r>
    <r>
      <rPr>
        <sz val="11"/>
        <color theme="1"/>
        <rFont val="Calibri"/>
        <family val="2"/>
        <scheme val="minor"/>
      </rPr>
      <t xml:space="preserve"> Root/admin cloud access should be minimized, segregated, MFA-enforced, and monitored.</t>
    </r>
  </si>
  <si>
    <r>
      <t>Partially complied.</t>
    </r>
    <r>
      <rPr>
        <sz val="11"/>
        <color theme="1"/>
        <rFont val="Calibri"/>
        <family val="2"/>
        <scheme val="minor"/>
      </rPr>
      <t xml:space="preserve"> EPMS encrypts at rest and in transit; masking/anonymization should be applied in reports, logs, exports, and non-production environments where needed.</t>
    </r>
  </si>
  <si>
    <r>
      <t>Recommended where applicable.</t>
    </r>
    <r>
      <rPr>
        <sz val="11"/>
        <color theme="1"/>
        <rFont val="Calibri"/>
        <family val="2"/>
        <scheme val="minor"/>
      </rPr>
      <t xml:space="preserve"> Any serverless/PaaS components in EPMS should have timeout limits, invocation monitoring, and abuse detection.</t>
    </r>
  </si>
  <si>
    <r>
      <t>Recommended.</t>
    </r>
    <r>
      <rPr>
        <sz val="11"/>
        <color theme="1"/>
        <rFont val="Calibri"/>
        <family val="2"/>
        <scheme val="minor"/>
      </rPr>
      <t xml:space="preserve"> EPMS should maintain approved external endpoint inventory for web, API, integration callbacks, and public documents if any.</t>
    </r>
  </si>
  <si>
    <r>
      <t>Recommended.</t>
    </r>
    <r>
      <rPr>
        <sz val="11"/>
        <color theme="1"/>
        <rFont val="Calibri"/>
        <family val="2"/>
        <scheme val="minor"/>
      </rPr>
      <t xml:space="preserve"> EPMS AI stack, SDKs, LLM providers, vector DBs, and guardrail components should be inventoried and monitored.</t>
    </r>
  </si>
  <si>
    <t>Are all integrations (e.g., API, ETL, hooks) mapped and authorized?</t>
  </si>
  <si>
    <r>
      <t>Complied.</t>
    </r>
    <r>
      <rPr>
        <sz val="11"/>
        <color theme="1"/>
        <rFont val="Calibri"/>
        <family val="2"/>
        <scheme val="minor"/>
      </rPr>
      <t xml:space="preserve"> EPMS communication matrix identifies integrations; each integration should use approved auth model and adapter boundary.</t>
    </r>
  </si>
  <si>
    <r>
      <t>Complied / should be operationalized.</t>
    </r>
    <r>
      <rPr>
        <sz val="11"/>
        <color theme="1"/>
        <rFont val="Calibri"/>
        <family val="2"/>
        <scheme val="minor"/>
      </rPr>
      <t xml:space="preserve"> EPMS backups must remain encrypted and restore testing should be scheduled.</t>
    </r>
  </si>
  <si>
    <r>
      <t>Enterprise endpoint control.</t>
    </r>
    <r>
      <rPr>
        <sz val="11"/>
        <color theme="1"/>
        <rFont val="Calibri"/>
        <family val="2"/>
        <scheme val="minor"/>
      </rPr>
      <t xml:space="preserve"> EPMS should rely on enterprise endpoint/browser security policy for managed devices.</t>
    </r>
  </si>
  <si>
    <r>
      <t>Complied.</t>
    </r>
    <r>
      <rPr>
        <sz val="11"/>
        <color theme="1"/>
        <rFont val="Calibri"/>
        <family val="2"/>
        <scheme val="minor"/>
      </rPr>
      <t xml:space="preserve"> EPMS architecture expects audit logging for admin, access, rule, and configuration changes. Review process should be documented.</t>
    </r>
  </si>
  <si>
    <r>
      <t>Complied in DevSecOps intent.</t>
    </r>
    <r>
      <rPr>
        <sz val="11"/>
        <color theme="1"/>
        <rFont val="Calibri"/>
        <family val="2"/>
        <scheme val="minor"/>
      </rPr>
      <t xml:space="preserve"> EPMS uses secret scanning such as Gitleaks and should enforce this in CI/CD.</t>
    </r>
  </si>
  <si>
    <r>
      <t>Required where applicable.</t>
    </r>
    <r>
      <rPr>
        <sz val="11"/>
        <color theme="1"/>
        <rFont val="Calibri"/>
        <family val="2"/>
        <scheme val="minor"/>
      </rPr>
      <t xml:space="preserve"> EPMS data jobs/ETL/reporting processes should use dedicated roles and least privilege.</t>
    </r>
  </si>
  <si>
    <r>
      <t>Operational control required.</t>
    </r>
    <r>
      <rPr>
        <sz val="11"/>
        <color theme="1"/>
        <rFont val="Calibri"/>
        <family val="2"/>
        <scheme val="minor"/>
      </rPr>
      <t xml:space="preserve"> EPMS should align with centralized IAM/IGA for deprovisioning.</t>
    </r>
  </si>
  <si>
    <r>
      <t>Required.</t>
    </r>
    <r>
      <rPr>
        <sz val="11"/>
        <color theme="1"/>
        <rFont val="Calibri"/>
        <family val="2"/>
        <scheme val="minor"/>
      </rPr>
      <t xml:space="preserve"> EPMS should prefer secure APIs/HTTPS/SFTP only; file transfer methods must be approved and logged.</t>
    </r>
  </si>
  <si>
    <r>
      <t>Partially complied.</t>
    </r>
    <r>
      <rPr>
        <sz val="11"/>
        <color theme="1"/>
        <rFont val="Calibri"/>
        <family val="2"/>
        <scheme val="minor"/>
      </rPr>
      <t xml:space="preserve"> EPMS logs user/admin/API/service events and should extend logging to critical data-plane activities where feasible and compliant.</t>
    </r>
  </si>
  <si>
    <r>
      <t>Complied.</t>
    </r>
    <r>
      <rPr>
        <sz val="11"/>
        <color theme="1"/>
        <rFont val="Calibri"/>
        <family val="2"/>
        <scheme val="minor"/>
      </rPr>
      <t xml:space="preserve"> EPMS uses centralized logging/SIEM such as QRadar, CloudWatch/OpenSearch, and monitoring tooling.</t>
    </r>
  </si>
  <si>
    <r>
      <t>Recommended.</t>
    </r>
    <r>
      <rPr>
        <sz val="11"/>
        <color theme="1"/>
        <rFont val="Calibri"/>
        <family val="2"/>
        <scheme val="minor"/>
      </rPr>
      <t xml:space="preserve"> EPMS audit/security logs should be stored in immutable or tamper-evident storage for critical records.</t>
    </r>
  </si>
  <si>
    <r>
      <t>Complied conceptually.</t>
    </r>
    <r>
      <rPr>
        <sz val="11"/>
        <color theme="1"/>
        <rFont val="Calibri"/>
        <family val="2"/>
        <scheme val="minor"/>
      </rPr>
      <t xml:space="preserve"> EPMS uses Secrets Manager/KMS/IAM and should formalize certificate/API key lifecycle and rotation.</t>
    </r>
  </si>
  <si>
    <r>
      <t>Enterprise mobile control.</t>
    </r>
    <r>
      <rPr>
        <sz val="11"/>
        <color theme="1"/>
        <rFont val="Calibri"/>
        <family val="2"/>
        <scheme val="minor"/>
      </rPr>
      <t xml:space="preserve"> EPMS mobile access should align with corporate MDM/MAM if sensitive usage is allowed.</t>
    </r>
  </si>
  <si>
    <r>
      <t>Partially complied.</t>
    </r>
    <r>
      <rPr>
        <sz val="11"/>
        <color theme="1"/>
        <rFont val="Calibri"/>
        <family val="2"/>
        <scheme val="minor"/>
      </rPr>
      <t xml:space="preserve"> EPMS supports encryption, masking, scoped access; additional PETs such as tokenization/pseudonymization can be applied where required.</t>
    </r>
  </si>
  <si>
    <r>
      <t>Enterprise governance control.</t>
    </r>
    <r>
      <rPr>
        <sz val="11"/>
        <color theme="1"/>
        <rFont val="Calibri"/>
        <family val="2"/>
        <scheme val="minor"/>
      </rPr>
      <t xml:space="preserve"> EPMS should ensure exported reports/documents shared through collaboration tools are governed by DLP and access policy.</t>
    </r>
  </si>
  <si>
    <r>
      <t>Complied / recommended automation.</t>
    </r>
    <r>
      <rPr>
        <sz val="11"/>
        <color theme="1"/>
        <rFont val="Calibri"/>
        <family val="2"/>
        <scheme val="minor"/>
      </rPr>
      <t xml:space="preserve"> EPMS document stores should remain private by default and be continuously scanned for exposure misconfigurations.</t>
    </r>
  </si>
  <si>
    <r>
      <t>To align with enterprise conditional access.</t>
    </r>
    <r>
      <rPr>
        <sz val="11"/>
        <color theme="1"/>
        <rFont val="Calibri"/>
        <family val="2"/>
        <scheme val="minor"/>
      </rPr>
      <t xml:space="preserve"> EPMS should leverage device-aware access policies where supported by identity platform.</t>
    </r>
  </si>
  <si>
    <r>
      <t>Complied.</t>
    </r>
    <r>
      <rPr>
        <sz val="11"/>
        <color theme="1"/>
        <rFont val="Calibri"/>
        <family val="2"/>
        <scheme val="minor"/>
      </rPr>
      <t xml:space="preserve"> EPMS log access should be role-restricted, audited, and limited to security/operations personnel.</t>
    </r>
  </si>
  <si>
    <r>
      <t>Operational recommendation.</t>
    </r>
    <r>
      <rPr>
        <sz val="11"/>
        <color theme="1"/>
        <rFont val="Calibri"/>
        <family val="2"/>
        <scheme val="minor"/>
      </rPr>
      <t xml:space="preserve"> EPMS monitoring/SIEM use cases should be tuned periodically to reduce noise and improve detection quality.</t>
    </r>
  </si>
  <si>
    <r>
      <t>Complied.</t>
    </r>
    <r>
      <rPr>
        <sz val="11"/>
        <color theme="1"/>
        <rFont val="Calibri"/>
        <family val="2"/>
        <scheme val="minor"/>
      </rPr>
      <t xml:space="preserve"> EPMS integrates centralized monitoring/SIEM for security event alerting.</t>
    </r>
  </si>
  <si>
    <r>
      <t>Enterprise endpoint/network control.</t>
    </r>
    <r>
      <rPr>
        <sz val="11"/>
        <color theme="1"/>
        <rFont val="Calibri"/>
        <family val="2"/>
        <scheme val="minor"/>
      </rPr>
      <t xml:space="preserve"> EPMS depends on organizational endpoint and secure web gateway policy.</t>
    </r>
  </si>
  <si>
    <r>
      <t>Enterprise mail security control.</t>
    </r>
    <r>
      <rPr>
        <sz val="11"/>
        <color theme="1"/>
        <rFont val="Calibri"/>
        <family val="2"/>
        <scheme val="minor"/>
      </rPr>
      <t xml:space="preserve"> Applicable for EPMS notifications and any outbound email integrations.</t>
    </r>
  </si>
  <si>
    <r>
      <t>Recommended / required for sensitive data.</t>
    </r>
    <r>
      <rPr>
        <sz val="11"/>
        <color theme="1"/>
        <rFont val="Calibri"/>
        <family val="2"/>
        <scheme val="minor"/>
      </rPr>
      <t xml:space="preserve"> EPMS non-prod environments should not use raw sensitive production data without masking/tokenization.</t>
    </r>
  </si>
  <si>
    <r>
      <t>Recommended.</t>
    </r>
    <r>
      <rPr>
        <sz val="11"/>
        <color theme="1"/>
        <rFont val="Calibri"/>
        <family val="2"/>
        <scheme val="minor"/>
      </rPr>
      <t xml:space="preserve"> EPMS should log high-risk admin actions; session recording may be applied for bastion/privileged admin scenarios if supported.</t>
    </r>
  </si>
  <si>
    <r>
      <t>Enterprise governance control.</t>
    </r>
    <r>
      <rPr>
        <sz val="11"/>
        <color theme="1"/>
        <rFont val="Calibri"/>
        <family val="2"/>
        <scheme val="minor"/>
      </rPr>
      <t xml:space="preserve"> EPMS integrations and SaaS dependencies should be centrally approved; unauthorized tool usage should be governed externally.</t>
    </r>
  </si>
  <si>
    <r>
      <t>Recommended.</t>
    </r>
    <r>
      <rPr>
        <sz val="11"/>
        <color theme="1"/>
        <rFont val="Calibri"/>
        <family val="2"/>
        <scheme val="minor"/>
      </rPr>
      <t xml:space="preserve"> EPMS should document fallback/recovery approach for IdP, AI provider, notification provider, and third-party integrations.</t>
    </r>
  </si>
  <si>
    <r>
      <t>Recommended / expected.</t>
    </r>
    <r>
      <rPr>
        <sz val="11"/>
        <color theme="1"/>
        <rFont val="Calibri"/>
        <family val="2"/>
        <scheme val="minor"/>
      </rPr>
      <t xml:space="preserve"> EPMS should use cloud-native posture tools and automated checks to detect exposed/misconfigured storage.</t>
    </r>
  </si>
  <si>
    <t>Is there retention policy of logs? Does it meet compliance mandates? Mention in remarks the retention policy</t>
  </si>
  <si>
    <r>
      <t>To be defined explicitly.</t>
    </r>
    <r>
      <rPr>
        <sz val="11"/>
        <color theme="1"/>
        <rFont val="Calibri"/>
        <family val="2"/>
        <scheme val="minor"/>
      </rPr>
      <t xml:space="preserve"> Recommended EPMS policy: </t>
    </r>
    <r>
      <rPr>
        <b/>
        <sz val="11"/>
        <color theme="1"/>
        <rFont val="Calibri"/>
        <family val="2"/>
        <scheme val="minor"/>
      </rPr>
      <t>Security/audit logs retained for minimum 1 year online and 7 years archived</t>
    </r>
    <r>
      <rPr>
        <sz val="11"/>
        <color theme="1"/>
        <rFont val="Calibri"/>
        <family val="2"/>
        <scheme val="minor"/>
      </rPr>
      <t xml:space="preserve"> if regulatory/contractual requirements demand; operational/application logs retained </t>
    </r>
    <r>
      <rPr>
        <b/>
        <sz val="11"/>
        <color theme="1"/>
        <rFont val="Calibri"/>
        <family val="2"/>
        <scheme val="minor"/>
      </rPr>
      <t>90–180 days online</t>
    </r>
    <r>
      <rPr>
        <sz val="11"/>
        <color theme="1"/>
        <rFont val="Calibri"/>
        <family val="2"/>
        <scheme val="minor"/>
      </rPr>
      <t>, then archived or purged per compliance and storage policy. Final retention must align with legal, audit, and enterprise records policy.</t>
    </r>
  </si>
  <si>
    <t>Yes. EPMP defines Admin, Governance Head, CoE Head, Project Manager, Business Partner and other relevant stakeholders and roles are documented in the architecture.</t>
  </si>
  <si>
    <t>Recommended. EPMP findings from monitoring, security scans, and audits should feed enterprise GRC where available.</t>
  </si>
  <si>
    <t>Recommended. EPMP operations should require RCA for major incidents and review remediation actions.</t>
  </si>
  <si>
    <t>Recommended. EPMP should maintain approved external endpoint inventory for web, API, integration callbacks, and public documents if any.</t>
  </si>
  <si>
    <t>Recommended. Infrastructure changes should integrate with monitoring and change approval to detect drift and impact.</t>
  </si>
  <si>
    <t>Complied by policy intent. Root/admin cloud access should be minimized, segregated, MFA-enforced, and monitored.</t>
  </si>
  <si>
    <t>Yes. EPMP NFRs and uptime expectations should be explicitly mapped to internal risk tolerance and recovery objectives (RTO/RPO) in the architecture and support model.</t>
  </si>
  <si>
    <t>Yes, EPMP to have Legal disclosures should be addressed in UI and captured.</t>
  </si>
  <si>
    <t>yes,EPMP security controls align broadly with OWASP, ISO-style controls, encryption, IAM, logging, and retention.</t>
  </si>
  <si>
    <t xml:space="preserve">Yes. EPMP uses segmented VPCs, KMS, IAM, TLS, WAF, DDoS protection, monitoring, and restricted admin access. </t>
  </si>
  <si>
    <t xml:space="preserve">Yes. EPMP architecture considers classification of transactional data, governance data, documents, logs, and AI-related data. </t>
  </si>
  <si>
    <t xml:space="preserve">Yes. EPMP AI architecture includes AI Orchestrator, access controls, auditability, and retrieval scoping. </t>
  </si>
  <si>
    <t>Yes. EPMP architecture supports encryption, least privilege, logging, and masking redacting PII or personal data .</t>
  </si>
  <si>
    <t xml:space="preserve">Yes. EPMP is architected for GCP with controlled use of PaaS/SaaS integrations. </t>
  </si>
  <si>
    <t>Yes. Core EPMP processes are mapped to BFF, orchestrators, microservices, data stores, AI services, and integrations.</t>
  </si>
  <si>
    <t>Yes. EPMP  uses selected GCP regions, data residency requirements, backup region strategy, and whether sensitive data remains within approved jurisdictions.</t>
  </si>
  <si>
    <t>Yes. EPMP includes backup, monitoring, segmented multi AZ deployment.</t>
  </si>
  <si>
    <t xml:space="preserve">Yes. EPMP architecture follows MSIL standerdized services. </t>
  </si>
  <si>
    <t>Yes - Aman San to address.</t>
  </si>
  <si>
    <t>Yes. Security architecture has been discussed with the Security team. EPMP considers security decisions such as Zero Trust, defense in depth, segmented VPCs, JWT validation at multiple layers, TLS/mTLS, and KMS-based encryption.</t>
  </si>
  <si>
    <t>Yes. EPMP maps integrations via Integration Microservices / adapters for external systems and shared enterprise services.</t>
  </si>
  <si>
    <t>yes. EPMP defines trust boundaries using MSIL GCP cloud edge zone, application VPC, data VPC, AI VPC, and external integration boundary.</t>
  </si>
  <si>
    <t>Yes. Architecture supports least privileges and RBAC.</t>
  </si>
  <si>
    <t>Yes. Identity provider, Admin functions, IAM roles, service identities, onboarding/offboarding, and privileged access monitoring are monitored by cloud admin and centralized control.</t>
  </si>
  <si>
    <t>Yes EPMP identifies integrations and platform services.</t>
  </si>
  <si>
    <t>Yes, EPMP uses distinct zones/VPCs for business services, data, AI services, edge security, and third-party integration boundaries.</t>
  </si>
  <si>
    <t>YEs;  EPMP security flowcharts and information have been reviewed.</t>
  </si>
  <si>
    <t>Yes, EPMP AI orchestration includes access control, prompt audit, AI guardrails and logging.</t>
  </si>
  <si>
    <t xml:space="preserve">yes,  GCP services are mapped to encryption, IAM, monitoring, secrets, and edge protection. </t>
  </si>
  <si>
    <t xml:space="preserve">Yes , EPMP services map to security services such as WAF, Shield, Firewall, IAM, KMS, Secrets Manager, SIEM, AppDynamics. </t>
  </si>
  <si>
    <t>yes. EPMP sensitive data is designed to  be restricted through RBAC/ABAC and service-level authorization.</t>
  </si>
  <si>
    <t>Yes. EPMP considers  OAuth2 / OIDC / JWT for application access, with enterprise identity integration and MFA for privileged access.</t>
  </si>
  <si>
    <t xml:space="preserve">Yes, EPMP architecture includes centralized logging, SIEM/QRadar, audit logging for admin/configuration actions, and monitoring integration. </t>
  </si>
  <si>
    <t xml:space="preserve">yes. EPMP can support prompt/output logging and policy controls. </t>
  </si>
  <si>
    <t>yes. EPMP uses JWT/OAuth2 for user access and secure service credentials/API keys for integrations. Token/key rotation policy will  be defined for service identities and machine credentials.</t>
  </si>
  <si>
    <t>Yes. Backup access wil be  with backup identities/roles, separate KMS permissions, and no shared production admin access is suggested.</t>
  </si>
  <si>
    <t>Yes. EPMP communication matrix, flowcharts, and integration architecture document data flow across application, AI, data, and external integration boundaries.</t>
  </si>
  <si>
    <t>Yes. EPMP architecture limits sensitive caching, encrypts data, and restricts access. Endpoint DLP, clipboard control, and download/export restrictions will be covered in operational controls.</t>
  </si>
  <si>
    <t>Yes. EPMP will enforce masking/redaction for reports, exports, logs, and non-production extracts where sensitive data may be exposed.</t>
  </si>
  <si>
    <t>Yes , to be integrated with enterprise controls. EPMP architecture supports secure data handling.</t>
  </si>
  <si>
    <t>Yes EPMP cloud resources should use tagging for environment, owner, sensitivity, cost center, and policy enforcement.</t>
  </si>
  <si>
    <t>Yes, JIRA is integrated with MSIL corporate DLP</t>
  </si>
  <si>
    <t>yes. Identity/session policies should enforce timeouts, idle logout, and re-authentication for high-risk admin flows.</t>
  </si>
  <si>
    <t>yes. EPMP is designed to  use named identities, IAM roles, service accounts, and machine identities</t>
  </si>
  <si>
    <t xml:space="preserve">yes. EPMP uses JWT validation at multiple layers, issuer/audience/expiry validation, MFA, TLS, and least privilege. </t>
  </si>
  <si>
    <t>Yes. EPMP supports encryption, masking, role restriction, and retention controls.</t>
  </si>
  <si>
    <t>yes. EPMP protects inter-service  traffic with TLS and recommends mTLS in service mesh environments for internal calls.</t>
  </si>
  <si>
    <t>yes. EPMP explicitly uses separate VPCs/zones for app services, data, and AI services with controlled communication.</t>
  </si>
  <si>
    <t>Not applicable. It is hosted in indian jurisdiction</t>
  </si>
  <si>
    <t>yes. EPMP mandates TLS 1.2+/1.3 across user, service, database, event, and integration communication paths.</t>
  </si>
  <si>
    <t>yes. EPMP uses AES-256 and  KMS backed encryption for DBs, files, logs, and backups.</t>
  </si>
  <si>
    <t>yes. EPMP requires MFA for Admin and privileged personas through enterprise identity provider .</t>
  </si>
  <si>
    <t>Yes. EPMP enforces RBAC at platform/BFF level and ABAC/contextual checks at microservice/service layer.</t>
  </si>
  <si>
    <t>Yes.</t>
  </si>
  <si>
    <t>Yes, EPMP relies  on centralized identity lifecycle via enterprise IdP .</t>
  </si>
  <si>
    <t>yes. EPMP will hjave separate role assignment, approval, and periodic review between Admin, IAM team, and approvers.</t>
  </si>
  <si>
    <t>yes. EPMP AppDynamics, SIEM, and GCP Cloud Logging and Cloud Monitoring for platform monitoring. SLA alert thresholds and service dashboards will be configured operationally.</t>
  </si>
  <si>
    <t>Yes. EPMP architecture deviations should be governed via change control / EA review process.</t>
  </si>
  <si>
    <t>YES. EPMP logs admin actions, access, service events, and can generate audit evidence in database and can be generated also with Appdynamics tool.</t>
  </si>
  <si>
    <t xml:space="preserve">Yes. </t>
  </si>
  <si>
    <t>This will be implemented as per MSIL enterprise practices.</t>
  </si>
  <si>
    <t>Yes and Recommended. Break-glass access, if used, should be tightly restricted, logged, MFA-protected, and periodically tested.</t>
  </si>
  <si>
    <t>Recommended. EPMP security exceptions should be documented in risk register/change control with approver sign-off.</t>
  </si>
  <si>
    <t>Recommened. EPMP architecture supports logging and detection; incident response playbooks for token compromise, data leakage, integration failure, cloud outage, and AI misuse should be implemented in the execution phase.</t>
  </si>
  <si>
    <t>yes, EPMP uses vulnerability scanning and should define remediation SLAs by severity in DevSecops process.</t>
  </si>
  <si>
    <t>yes. EPMP uses AppDynamics, Cloud logging and moniting, SIEM/QRadar, and logs. dashboard definitions should include security KPIs and service availability metrics.</t>
  </si>
  <si>
    <t>Yes ,EPMP architecture supports logging and data discovery foundations.</t>
  </si>
  <si>
    <t>Yes.EPMP should include periodic architecture and security posture reviews.</t>
  </si>
  <si>
    <t>Yes. EPMP to adopt a security onboarding checklist for new integrations, AI tools, services, and cloud components.</t>
  </si>
  <si>
    <t>Yes , required for third-party onboarding. External providers used by EPMP should be assessed through third-party risk management.</t>
  </si>
  <si>
    <t>Yes and Recommended. Critical EPMP third parties should be included in dependency-level DR/BCP considerations.</t>
  </si>
  <si>
    <t>Yes. EPMP adapters/integrations and AI platforms should undergo third-party risk and security review before onboarding.</t>
  </si>
  <si>
    <t>Yes. EPMP applies Zero Trust through layered validation, JWT checks at multiple layers, MFA, segmentation, least privilege, and secure service communication.</t>
  </si>
  <si>
    <t>Yes and Recommended. EPMP should be included in annual red teaming / penetration testing / BAS scope ( per MSIL policy).</t>
  </si>
  <si>
    <t xml:space="preserve">Yes, AI orchestrator activity will be  auditable, drift and AI-specific monitoring should be added </t>
  </si>
  <si>
    <t>Yes . EPMP privileged roles should be periodically recertified through IAM governance.</t>
  </si>
  <si>
    <t>Yes , as per MSIL policy and exercices.</t>
  </si>
  <si>
    <t>Yes and recommended. EPMP cloud, AI, and integration risks should be tracked in the enterprise risk register.</t>
  </si>
  <si>
    <t>yes , As per MSIL practices.</t>
  </si>
  <si>
    <t>Yes and to be managed operationally. EPMP should define escalation matrix for AWS, IdP, GenAI platform, and integrated third-party services.</t>
  </si>
  <si>
    <t>Yes. EPMP network design uses segmented VPCs, controlled security groups, and minimal inbound/outbound access.</t>
  </si>
  <si>
    <t>Yes. EPMP external/private connectivity should be encrypted, monitored, and restricted.</t>
  </si>
  <si>
    <t>Yes. EPMP should enable cloud-native posture and vulnerability scanning tools in addition to application security tooling.</t>
  </si>
  <si>
    <t>Yes. EPMP container images should be scanned in CI/CD and runtime as part of DevSecOps.</t>
  </si>
  <si>
    <t>Yes. EPMP public endpoints and DNS should use hardened DNS, restricted changes, logging, and secure routing policies.</t>
  </si>
  <si>
    <t>YEs. EPMP runtime nodes/build images should be hardened and baselined.</t>
  </si>
  <si>
    <t>Yes. For managed/containerized EPMP workloads, equivalent runtime/container security tooling should be used where applicable.</t>
  </si>
  <si>
    <t>Yes. EPMP Spring Boot/Java runtime and all supporting runtimes must be maintained at supported patch levels.</t>
  </si>
  <si>
    <t>Yes. EPMP environments should be separated by account/VPC/network, IAM, keys, and data boundaries.</t>
  </si>
  <si>
    <t>Yes. EPMP privileged infrastructure/admin access should follow JIT or tightly controlled standing privilege model.</t>
  </si>
  <si>
    <t>Yes. EPMP base images/nodes should follow hardened baselines and drift detection.</t>
  </si>
  <si>
    <t>Yes. EPMP Kubernetes/container environments should use namespaces, quotas, policies, and workload isolation.</t>
  </si>
  <si>
    <t>As applicable for MSIL.</t>
  </si>
  <si>
    <t>YEs. If bastion access exists, it should be heavily restricted, MFA-protected, and logged.</t>
  </si>
  <si>
    <t>Yes, EPMP encrypts at rest and in transit; masking/anonymization should be applied in reports, logs, exports, and non-production environments where needed.</t>
  </si>
  <si>
    <t>Yes. Any serverless/PaaS components like GCP cloud storage in EPMP should have timeout limits, invocation monitoring, and abuse detection.</t>
  </si>
  <si>
    <t>Yes. EPMP AI stack, SDKs, LLM providers, vector DBs, and guardrail components are  be inventoried and monitored my MSIL.</t>
  </si>
  <si>
    <t>Yes. EPMP  integrations touchpoint will use approved auth model and adapter boundary.</t>
  </si>
  <si>
    <t>Yes . EPMP backups must remain encrypted and restore testing should be scheduled as per MSIL practices.</t>
  </si>
  <si>
    <t>Yes. EPMP relies on enterprise endpoint/browser security policy as per MSIL.</t>
  </si>
  <si>
    <t>Yes. EPMP architecture audit logging for admin, access, rule, and configuration changes and review process will be documented.</t>
  </si>
  <si>
    <t>Yes. EPMP uses  scanning with Snyk / Sonarqube to enforce this in CI/CD.</t>
  </si>
  <si>
    <t>Yes. EPMP  jobs/ETL processes will use dedicated roles and least privilege.</t>
  </si>
  <si>
    <t>Yes EPMP should align with centralized IAM for deprovisioning as per MSIL policies.</t>
  </si>
  <si>
    <t>Yes. EPMP should prefer secure APIs/HTTPS only.</t>
  </si>
  <si>
    <t>Yes. EPMP logs user/admin/API/service events and will   extend logging to critical data-plane activities where feasible and compliant through App dynamics agents /sidecar</t>
  </si>
  <si>
    <t>Yes. EPMP uses centralized logging/SIEM such as QRadar, Cloud logging and monitoring and appdynamics.</t>
  </si>
  <si>
    <t>Yes. EPMP design approach is to use immutable stores such as Cloud storage where audit/security logs should be stored in immutable or tamper-evident storage for critical records.</t>
  </si>
  <si>
    <t>yes. EPMP uses Secrets Manager/KMS/IAM and should formalize certificate/API key lifecycle and rotation.</t>
  </si>
  <si>
    <t>yes. EPMP mobile access will align with MSIL's MDM/MAM if sensitive usage is allowed.</t>
  </si>
  <si>
    <t>Yes. EPMP supports encryption, masking, scoped access.</t>
  </si>
  <si>
    <t>Yes, only corporate collaboration tool Opentext is used (docyument management).</t>
  </si>
  <si>
    <t>Yes. EPMP document stores should remain private by default and be continuously scanned for exposure misconfigurations.</t>
  </si>
  <si>
    <t>Yes, EPMP should leverage device-aware access policies where supported by identity platform.</t>
  </si>
  <si>
    <t>Yes. EPMP log access will  be role-restricted, audited, and limited to security/operations personnel.</t>
  </si>
  <si>
    <t>Yes. EPMP Appdynamics/SIEM use cases should be tuned periodically to reduce noise and improve detection quality.</t>
  </si>
  <si>
    <t>yes. EPMP integrates centralized Appdynamics/SIEM for security event alerting.</t>
  </si>
  <si>
    <t xml:space="preserve"> EPMP depends on MSIL organizational endpoint and secure web gateway policy.</t>
  </si>
  <si>
    <t xml:space="preserve">Yes, Enterprise mail security control. </t>
  </si>
  <si>
    <t>Yes, this required for sensitive data. EPMP non-prod environments should not use raw sensitive production data without masking/tokenization.</t>
  </si>
  <si>
    <t>As per org policies</t>
  </si>
  <si>
    <t>Yes,  EPMP is designed to use document fallback/recovery approach as per organizational standards.</t>
  </si>
  <si>
    <t>Yes. EPMP will use script driven (ie. Ansible)  automated checks to detect exposed/misconfigured storage.</t>
  </si>
  <si>
    <t>Yes, as per the NFR the logs will be retained for KYC: 10 years
Contracts: 7 years
Logs (System/application) : 1 years, Security Logs : 3 years, Audit Logs : 7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</si>
</sst>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6" x14ac:knownFonts="1">
    <font>
      <sz val="11"/>
      <color theme="1"/>
      <name val="Calibri"/>
      <family val="2"/>
      <scheme val="minor"/>
    </font>
    <font>
      <b/>
      <sz val="16"/>
      <color theme="1"/>
      <name val="Times New Roman"/>
      <family val="1"/>
    </font>
    <font>
      <i/>
      <sz val="10"/>
      <color theme="1"/>
      <name val="Arial"/>
      <family val="2"/>
    </font>
    <font>
      <b/>
      <sz val="10"/>
      <color theme="1"/>
      <name val="Arial"/>
      <family val="2"/>
    </font>
    <font>
      <sz val="10"/>
      <color theme="1"/>
      <name val="Arial"/>
      <family val="2"/>
    </font>
    <font>
      <sz val="7"/>
      <color theme="1"/>
      <name val="Arial"/>
      <family val="2"/>
    </font>
    <font>
      <sz val="11"/>
      <color theme="1"/>
      <name val="Arial"/>
      <family val="2"/>
    </font>
    <font>
      <b/>
      <sz val="11"/>
      <color rgb="FFFFFFFF"/>
      <name val="Arial"/>
      <family val="2"/>
    </font>
    <font>
      <b/>
      <sz val="15"/>
      <color theme="1"/>
      <name val="Arial"/>
      <family val="2"/>
    </font>
    <font>
      <sz val="10"/>
      <color rgb="FF000000"/>
      <name val="Arial"/>
      <family val="2"/>
    </font>
    <font>
      <b/>
      <sz val="11"/>
      <color rgb="FF000000"/>
      <name val="Arial"/>
      <family val="2"/>
    </font>
    <font>
      <u/>
      <sz val="11"/>
      <color theme="10"/>
      <name val="Calibri"/>
      <family val="2"/>
      <scheme val="minor"/>
    </font>
    <font>
      <b/>
      <sz val="10"/>
      <color rgb="FFFF0000"/>
      <name val="Arial"/>
      <family val="2"/>
    </font>
    <font>
      <b/>
      <i/>
      <u/>
      <sz val="10"/>
      <color theme="0"/>
      <name val="Arial"/>
      <family val="2"/>
    </font>
    <font>
      <b/>
      <sz val="11"/>
      <color theme="0"/>
      <name val="Arial"/>
      <family val="2"/>
    </font>
    <font>
      <sz val="11"/>
      <name val="Arial"/>
      <family val="2"/>
    </font>
    <font>
      <b/>
      <sz val="11"/>
      <color theme="1"/>
      <name val="Arial"/>
      <family val="2"/>
    </font>
    <font>
      <i/>
      <sz val="9"/>
      <color theme="1"/>
      <name val="Arial"/>
      <family val="2"/>
    </font>
    <font>
      <b/>
      <sz val="18"/>
      <color theme="0"/>
      <name val="Arial"/>
      <family val="2"/>
    </font>
    <font>
      <i/>
      <u/>
      <sz val="11"/>
      <color theme="10"/>
      <name val="Arial"/>
      <family val="2"/>
    </font>
    <font>
      <b/>
      <i/>
      <u/>
      <sz val="11"/>
      <color theme="0"/>
      <name val="Arial"/>
      <family val="2"/>
    </font>
    <font>
      <i/>
      <sz val="12"/>
      <color rgb="FF000000"/>
      <name val="Arial"/>
      <family val="2"/>
    </font>
    <font>
      <sz val="11"/>
      <color rgb="FF000000"/>
      <name val="Calibri"/>
      <family val="2"/>
    </font>
    <font>
      <b/>
      <sz val="11"/>
      <color theme="1"/>
      <name val="Calibri"/>
      <family val="2"/>
      <scheme val="minor"/>
    </font>
    <font>
      <sz val="11"/>
      <color theme="0"/>
      <name val="Arial"/>
      <family val="2"/>
    </font>
    <font>
      <sz val="11"/>
      <color rgb="FFFF0000"/>
      <name val="Calibri (Body)"/>
    </font>
  </fonts>
  <fills count="8">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rgb="FF00338D"/>
        <bgColor indexed="64"/>
      </patternFill>
    </fill>
    <fill>
      <patternFill patternType="solid">
        <fgColor rgb="FF0070C0"/>
        <bgColor indexed="64"/>
      </patternFill>
    </fill>
    <fill>
      <patternFill patternType="solid">
        <fgColor theme="4"/>
        <bgColor indexed="64"/>
      </patternFill>
    </fill>
    <fill>
      <patternFill patternType="solid">
        <fgColor rgb="FFFFC000"/>
        <bgColor indexed="64"/>
      </patternFill>
    </fill>
  </fills>
  <borders count="35">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style="medium">
        <color auto="1"/>
      </top>
      <bottom style="medium">
        <color auto="1"/>
      </bottom>
      <diagonal/>
    </border>
    <border>
      <left/>
      <right/>
      <top style="medium">
        <color indexed="64"/>
      </top>
      <bottom style="medium">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s>
  <cellStyleXfs count="2">
    <xf numFmtId="0" fontId="0" fillId="0" borderId="0"/>
    <xf numFmtId="0" fontId="11" fillId="0" borderId="0" applyNumberFormat="0" applyFill="0" applyBorder="0" applyAlignment="0" applyProtection="0"/>
  </cellStyleXfs>
  <cellXfs count="156">
    <xf numFmtId="0" fontId="0" fillId="0" borderId="0" xfId="0"/>
    <xf numFmtId="0" fontId="1" fillId="3" borderId="0" xfId="0" applyFont="1" applyFill="1" applyAlignment="1">
      <alignment vertical="center"/>
    </xf>
    <xf numFmtId="0" fontId="1" fillId="3" borderId="14" xfId="0" applyFont="1" applyFill="1" applyBorder="1" applyAlignment="1">
      <alignment vertical="center" wrapText="1"/>
    </xf>
    <xf numFmtId="0" fontId="1" fillId="3" borderId="12" xfId="0" applyFont="1" applyFill="1" applyBorder="1" applyAlignment="1">
      <alignment vertical="center"/>
    </xf>
    <xf numFmtId="0" fontId="1" fillId="3" borderId="15" xfId="0" applyFont="1" applyFill="1" applyBorder="1" applyAlignment="1">
      <alignment vertical="center"/>
    </xf>
    <xf numFmtId="0" fontId="1" fillId="3" borderId="16" xfId="0" applyFont="1" applyFill="1" applyBorder="1" applyAlignment="1">
      <alignment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3" xfId="0" applyFont="1" applyFill="1" applyBorder="1" applyAlignment="1">
      <alignment vertical="center"/>
    </xf>
    <xf numFmtId="0" fontId="1" fillId="3" borderId="19" xfId="0" applyFont="1" applyFill="1" applyBorder="1" applyAlignment="1">
      <alignment vertical="center"/>
    </xf>
    <xf numFmtId="0" fontId="6" fillId="0" borderId="0" xfId="0" applyFont="1"/>
    <xf numFmtId="0" fontId="6" fillId="0" borderId="0" xfId="0" applyFont="1" applyAlignment="1">
      <alignment vertical="top" wrapText="1"/>
    </xf>
    <xf numFmtId="0" fontId="4" fillId="0" borderId="0" xfId="0" applyFont="1" applyAlignment="1">
      <alignment horizontal="left" vertical="center" wrapText="1"/>
    </xf>
    <xf numFmtId="0" fontId="9" fillId="0" borderId="0" xfId="0" applyFont="1"/>
    <xf numFmtId="0" fontId="10" fillId="0" borderId="0" xfId="0" applyFont="1"/>
    <xf numFmtId="0" fontId="9" fillId="0" borderId="0" xfId="0" applyFont="1" applyAlignment="1">
      <alignment vertical="top"/>
    </xf>
    <xf numFmtId="0" fontId="9" fillId="0" borderId="3" xfId="0" applyFont="1" applyBorder="1" applyAlignment="1">
      <alignment vertical="top"/>
    </xf>
    <xf numFmtId="0" fontId="9" fillId="0" borderId="6" xfId="0" applyFont="1" applyBorder="1" applyAlignment="1">
      <alignment vertical="top"/>
    </xf>
    <xf numFmtId="0" fontId="9" fillId="0" borderId="9" xfId="0" applyFont="1" applyBorder="1" applyAlignment="1">
      <alignment vertical="top"/>
    </xf>
    <xf numFmtId="0" fontId="7" fillId="4" borderId="1" xfId="0" applyFont="1" applyFill="1" applyBorder="1" applyAlignment="1">
      <alignment horizontal="left" vertical="center" wrapText="1"/>
    </xf>
    <xf numFmtId="0" fontId="7" fillId="4" borderId="4" xfId="0" applyFont="1" applyFill="1" applyBorder="1" applyAlignment="1">
      <alignment horizontal="left" vertical="center" wrapText="1"/>
    </xf>
    <xf numFmtId="0" fontId="7" fillId="4" borderId="7" xfId="0" applyFont="1" applyFill="1" applyBorder="1" applyAlignment="1">
      <alignment horizontal="left" vertical="center" wrapText="1"/>
    </xf>
    <xf numFmtId="0" fontId="9" fillId="0" borderId="4" xfId="0" applyFont="1" applyBorder="1" applyAlignment="1">
      <alignment horizontal="center" vertical="top"/>
    </xf>
    <xf numFmtId="0" fontId="9" fillId="0" borderId="5" xfId="0" applyFont="1" applyBorder="1" applyAlignment="1">
      <alignment vertical="top"/>
    </xf>
    <xf numFmtId="15" fontId="9" fillId="0" borderId="5" xfId="0" applyNumberFormat="1" applyFont="1" applyBorder="1" applyAlignment="1">
      <alignment horizontal="left" vertical="top"/>
    </xf>
    <xf numFmtId="0" fontId="9" fillId="0" borderId="6" xfId="0" applyFont="1" applyBorder="1" applyAlignment="1">
      <alignment vertical="top" wrapText="1"/>
    </xf>
    <xf numFmtId="0" fontId="9" fillId="0" borderId="5" xfId="0" applyFont="1" applyBorder="1" applyAlignment="1">
      <alignment horizontal="left" vertical="top"/>
    </xf>
    <xf numFmtId="0" fontId="9" fillId="0" borderId="7" xfId="0" applyFont="1" applyBorder="1" applyAlignment="1">
      <alignment horizontal="center" vertical="top"/>
    </xf>
    <xf numFmtId="15" fontId="9" fillId="0" borderId="8" xfId="0" applyNumberFormat="1" applyFont="1" applyBorder="1" applyAlignment="1">
      <alignment horizontal="left" vertical="top"/>
    </xf>
    <xf numFmtId="0" fontId="9" fillId="0" borderId="8" xfId="0" applyFont="1" applyBorder="1" applyAlignment="1">
      <alignment vertical="top" wrapText="1"/>
    </xf>
    <xf numFmtId="0" fontId="9" fillId="0" borderId="8" xfId="0" applyFont="1" applyBorder="1" applyAlignment="1">
      <alignment horizontal="left" vertical="top"/>
    </xf>
    <xf numFmtId="15" fontId="9" fillId="0" borderId="9" xfId="0" applyNumberFormat="1" applyFont="1" applyBorder="1" applyAlignment="1">
      <alignment horizontal="left" vertical="top"/>
    </xf>
    <xf numFmtId="0" fontId="7" fillId="4" borderId="1" xfId="0" applyFont="1" applyFill="1" applyBorder="1" applyAlignment="1">
      <alignment horizontal="center" vertical="top" wrapText="1"/>
    </xf>
    <xf numFmtId="0" fontId="7" fillId="4" borderId="2" xfId="0" applyFont="1" applyFill="1" applyBorder="1" applyAlignment="1">
      <alignment horizontal="center" vertical="top" wrapText="1"/>
    </xf>
    <xf numFmtId="0" fontId="7" fillId="4" borderId="3" xfId="0" applyFont="1" applyFill="1" applyBorder="1" applyAlignment="1">
      <alignment horizontal="center" vertical="top" wrapText="1"/>
    </xf>
    <xf numFmtId="15" fontId="9" fillId="0" borderId="6" xfId="0" applyNumberFormat="1" applyFont="1" applyBorder="1" applyAlignment="1">
      <alignment horizontal="left" vertical="top"/>
    </xf>
    <xf numFmtId="0" fontId="6" fillId="0" borderId="1" xfId="0" applyFont="1" applyBorder="1" applyAlignment="1">
      <alignment horizontal="center" vertical="top"/>
    </xf>
    <xf numFmtId="0" fontId="6" fillId="0" borderId="4" xfId="0" applyFont="1" applyBorder="1" applyAlignment="1">
      <alignment horizontal="center" vertical="top"/>
    </xf>
    <xf numFmtId="0" fontId="6" fillId="0" borderId="7" xfId="0" applyFont="1" applyBorder="1" applyAlignment="1">
      <alignment horizontal="center" vertical="top"/>
    </xf>
    <xf numFmtId="0" fontId="13" fillId="6" borderId="0" xfId="1" applyFont="1" applyFill="1"/>
    <xf numFmtId="0" fontId="14" fillId="2" borderId="1" xfId="0" applyFont="1" applyFill="1" applyBorder="1" applyAlignment="1">
      <alignment horizontal="center" vertical="top"/>
    </xf>
    <xf numFmtId="0" fontId="14" fillId="2" borderId="2" xfId="0" applyFont="1" applyFill="1" applyBorder="1" applyAlignment="1">
      <alignment horizontal="center" vertical="top"/>
    </xf>
    <xf numFmtId="0" fontId="15" fillId="0" borderId="5" xfId="0" applyFont="1" applyBorder="1" applyAlignment="1">
      <alignment vertical="top" wrapText="1"/>
    </xf>
    <xf numFmtId="0" fontId="15" fillId="0" borderId="8" xfId="0" applyFont="1" applyBorder="1" applyAlignment="1">
      <alignment vertical="top" wrapText="1"/>
    </xf>
    <xf numFmtId="0" fontId="6" fillId="0" borderId="5" xfId="0" applyFont="1" applyBorder="1" applyAlignment="1">
      <alignment vertical="top"/>
    </xf>
    <xf numFmtId="0" fontId="6" fillId="0" borderId="6" xfId="0" applyFont="1" applyBorder="1" applyAlignment="1">
      <alignment vertical="top"/>
    </xf>
    <xf numFmtId="0" fontId="6" fillId="0" borderId="0" xfId="0" applyFont="1" applyAlignment="1">
      <alignment vertical="top"/>
    </xf>
    <xf numFmtId="0" fontId="14" fillId="5" borderId="20" xfId="0" applyFont="1" applyFill="1" applyBorder="1"/>
    <xf numFmtId="0" fontId="6" fillId="0" borderId="0" xfId="0" applyFont="1" applyAlignment="1">
      <alignment wrapText="1"/>
    </xf>
    <xf numFmtId="0" fontId="14" fillId="2" borderId="1" xfId="0" applyFont="1" applyFill="1" applyBorder="1" applyAlignment="1">
      <alignment horizontal="center" vertical="center" wrapText="1"/>
    </xf>
    <xf numFmtId="0" fontId="14" fillId="2" borderId="2" xfId="0" applyFont="1" applyFill="1" applyBorder="1" applyAlignment="1">
      <alignment horizontal="center" vertical="center" wrapText="1"/>
    </xf>
    <xf numFmtId="0" fontId="14" fillId="2" borderId="3" xfId="0" applyFont="1" applyFill="1" applyBorder="1" applyAlignment="1">
      <alignment horizontal="center" vertical="center" wrapText="1"/>
    </xf>
    <xf numFmtId="0" fontId="6" fillId="0" borderId="4" xfId="0" applyFont="1" applyBorder="1" applyAlignment="1">
      <alignment horizontal="center" vertical="top" wrapText="1"/>
    </xf>
    <xf numFmtId="0" fontId="15" fillId="0" borderId="5" xfId="0" applyFont="1" applyBorder="1" applyAlignment="1">
      <alignment horizontal="left" vertical="top" wrapText="1"/>
    </xf>
    <xf numFmtId="0" fontId="6" fillId="0" borderId="5" xfId="0" applyFont="1" applyBorder="1" applyAlignment="1">
      <alignment horizontal="center" vertical="top" wrapText="1"/>
    </xf>
    <xf numFmtId="0" fontId="6" fillId="0" borderId="6" xfId="0" applyFont="1" applyBorder="1" applyAlignment="1">
      <alignment horizontal="left" vertical="top" wrapText="1"/>
    </xf>
    <xf numFmtId="0" fontId="6" fillId="0" borderId="8" xfId="0" applyFont="1" applyBorder="1" applyAlignment="1">
      <alignment horizontal="center" vertical="top" wrapText="1"/>
    </xf>
    <xf numFmtId="0" fontId="6" fillId="0" borderId="9" xfId="0" applyFont="1" applyBorder="1" applyAlignment="1">
      <alignment horizontal="left" vertical="top" wrapText="1"/>
    </xf>
    <xf numFmtId="0" fontId="6" fillId="0" borderId="0" xfId="0" applyFont="1" applyAlignment="1">
      <alignment horizontal="center" vertical="top" wrapText="1"/>
    </xf>
    <xf numFmtId="0" fontId="13" fillId="6" borderId="0" xfId="1" applyFont="1" applyFill="1" applyAlignment="1">
      <alignment horizontal="center" vertical="center"/>
    </xf>
    <xf numFmtId="0" fontId="15" fillId="0" borderId="0" xfId="0" applyFont="1" applyAlignment="1">
      <alignment vertical="top" wrapText="1"/>
    </xf>
    <xf numFmtId="0" fontId="6" fillId="3" borderId="0" xfId="0" applyFont="1" applyFill="1"/>
    <xf numFmtId="0" fontId="13" fillId="6" borderId="20" xfId="1" applyFont="1" applyFill="1" applyBorder="1" applyAlignment="1">
      <alignment horizontal="center" vertical="center"/>
    </xf>
    <xf numFmtId="0" fontId="6" fillId="0" borderId="7" xfId="0" applyFont="1" applyBorder="1" applyAlignment="1">
      <alignment horizontal="center" vertical="center"/>
    </xf>
    <xf numFmtId="0" fontId="6" fillId="0" borderId="8" xfId="0" applyFont="1" applyBorder="1" applyAlignment="1">
      <alignment horizontal="center" vertical="center"/>
    </xf>
    <xf numFmtId="0" fontId="6" fillId="0" borderId="9" xfId="0" applyFont="1" applyBorder="1" applyAlignment="1">
      <alignment horizontal="center" vertical="center"/>
    </xf>
    <xf numFmtId="0" fontId="14" fillId="2" borderId="25" xfId="0" applyFont="1" applyFill="1" applyBorder="1" applyAlignment="1">
      <alignment horizontal="center" vertical="center" wrapText="1"/>
    </xf>
    <xf numFmtId="0" fontId="17" fillId="3" borderId="0" xfId="0" applyFont="1" applyFill="1" applyAlignment="1">
      <alignment horizontal="left" vertical="top"/>
    </xf>
    <xf numFmtId="0" fontId="6" fillId="3" borderId="0" xfId="0" applyFont="1" applyFill="1" applyAlignment="1">
      <alignment wrapText="1"/>
    </xf>
    <xf numFmtId="0" fontId="6" fillId="0" borderId="0" xfId="0" applyFont="1" applyAlignment="1">
      <alignment horizontal="left" vertical="top" wrapText="1"/>
    </xf>
    <xf numFmtId="0" fontId="16" fillId="0" borderId="26" xfId="0" applyFont="1" applyBorder="1" applyAlignment="1">
      <alignment horizontal="left" vertical="top" wrapText="1"/>
    </xf>
    <xf numFmtId="0" fontId="13" fillId="6" borderId="11" xfId="1" applyFont="1" applyFill="1" applyBorder="1" applyAlignment="1">
      <alignment horizontal="center" vertical="center"/>
    </xf>
    <xf numFmtId="0" fontId="6" fillId="0" borderId="7" xfId="0" applyFont="1" applyBorder="1" applyAlignment="1">
      <alignment horizontal="center" vertical="top" wrapText="1"/>
    </xf>
    <xf numFmtId="0" fontId="6" fillId="0" borderId="5" xfId="0" applyFont="1" applyBorder="1" applyAlignment="1">
      <alignment vertical="top" wrapText="1"/>
    </xf>
    <xf numFmtId="0" fontId="6" fillId="0" borderId="6" xfId="0" applyFont="1" applyBorder="1" applyAlignment="1">
      <alignment vertical="top" wrapText="1"/>
    </xf>
    <xf numFmtId="0" fontId="6" fillId="0" borderId="8" xfId="0" applyFont="1" applyBorder="1" applyAlignment="1">
      <alignment vertical="top" wrapText="1"/>
    </xf>
    <xf numFmtId="0" fontId="6" fillId="0" borderId="9" xfId="0" applyFont="1" applyBorder="1" applyAlignment="1">
      <alignment vertical="top" wrapText="1"/>
    </xf>
    <xf numFmtId="0" fontId="20" fillId="6" borderId="0" xfId="1" applyFont="1" applyFill="1" applyAlignment="1">
      <alignment horizontal="center" vertical="top"/>
    </xf>
    <xf numFmtId="0" fontId="15" fillId="0" borderId="5" xfId="0" applyFont="1" applyBorder="1" applyAlignment="1">
      <alignment horizontal="center" vertical="top" wrapText="1"/>
    </xf>
    <xf numFmtId="0" fontId="15" fillId="0" borderId="6" xfId="0" applyFont="1" applyBorder="1" applyAlignment="1">
      <alignment horizontal="left" vertical="top" wrapText="1"/>
    </xf>
    <xf numFmtId="0" fontId="6" fillId="7" borderId="4" xfId="0" applyFont="1" applyFill="1" applyBorder="1" applyAlignment="1">
      <alignment horizontal="center" vertical="top" wrapText="1"/>
    </xf>
    <xf numFmtId="0" fontId="15" fillId="0" borderId="6" xfId="0" applyFont="1" applyBorder="1" applyAlignment="1">
      <alignment vertical="top" wrapText="1"/>
    </xf>
    <xf numFmtId="0" fontId="6" fillId="0" borderId="0" xfId="0" applyFont="1" applyAlignment="1">
      <alignment horizontal="center" vertical="center"/>
    </xf>
    <xf numFmtId="0" fontId="15" fillId="0" borderId="8" xfId="0" applyFont="1" applyBorder="1" applyAlignment="1">
      <alignment horizontal="left" vertical="top" wrapText="1"/>
    </xf>
    <xf numFmtId="0" fontId="15" fillId="0" borderId="4" xfId="0" applyFont="1" applyBorder="1" applyAlignment="1">
      <alignment horizontal="center" vertical="top" wrapText="1"/>
    </xf>
    <xf numFmtId="0" fontId="15" fillId="0" borderId="7" xfId="0" applyFont="1" applyBorder="1" applyAlignment="1">
      <alignment horizontal="center"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4" fillId="2" borderId="2" xfId="0" applyFont="1" applyFill="1" applyBorder="1" applyAlignment="1">
      <alignment horizontal="center" vertical="top"/>
    </xf>
    <xf numFmtId="0" fontId="14" fillId="2" borderId="3" xfId="0" applyFont="1" applyFill="1" applyBorder="1" applyAlignment="1">
      <alignment horizontal="center" vertical="top"/>
    </xf>
    <xf numFmtId="0" fontId="8" fillId="3" borderId="16" xfId="0" applyFont="1" applyFill="1" applyBorder="1" applyAlignment="1">
      <alignment horizontal="center" vertical="center" wrapText="1"/>
    </xf>
    <xf numFmtId="0" fontId="8" fillId="3" borderId="0" xfId="0" applyFont="1" applyFill="1" applyAlignment="1">
      <alignment horizontal="center" vertical="center"/>
    </xf>
    <xf numFmtId="0" fontId="8" fillId="3" borderId="17" xfId="0" applyFont="1" applyFill="1" applyBorder="1" applyAlignment="1">
      <alignment horizontal="center" vertical="center"/>
    </xf>
    <xf numFmtId="0" fontId="8" fillId="3" borderId="16" xfId="0" applyFont="1" applyFill="1" applyBorder="1" applyAlignment="1">
      <alignment horizontal="center" vertic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4" fillId="3" borderId="0" xfId="0" applyFont="1" applyFill="1" applyAlignment="1">
      <alignment horizontal="center" vertical="center"/>
    </xf>
    <xf numFmtId="0" fontId="5" fillId="3" borderId="16" xfId="0" applyFont="1" applyFill="1" applyBorder="1" applyAlignment="1">
      <alignment horizontal="center" vertical="center" wrapText="1"/>
    </xf>
    <xf numFmtId="0" fontId="5" fillId="3" borderId="0" xfId="0" applyFont="1" applyFill="1" applyAlignment="1">
      <alignment horizontal="center" vertical="center" wrapText="1"/>
    </xf>
    <xf numFmtId="0" fontId="5" fillId="3" borderId="17" xfId="0" applyFont="1" applyFill="1" applyBorder="1" applyAlignment="1">
      <alignment horizontal="center" vertical="center" wrapText="1"/>
    </xf>
    <xf numFmtId="0" fontId="9" fillId="0" borderId="10" xfId="0" applyFont="1" applyBorder="1" applyAlignment="1">
      <alignment horizontal="left" vertical="top" wrapText="1"/>
    </xf>
    <xf numFmtId="0" fontId="9" fillId="0" borderId="21" xfId="0" applyFont="1" applyBorder="1" applyAlignment="1">
      <alignment horizontal="left" vertical="top" wrapText="1"/>
    </xf>
    <xf numFmtId="0" fontId="9" fillId="0" borderId="11" xfId="0" applyFont="1" applyBorder="1" applyAlignment="1">
      <alignment horizontal="left" vertical="top" wrapText="1"/>
    </xf>
    <xf numFmtId="0" fontId="7" fillId="4" borderId="10" xfId="0"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6" fillId="0" borderId="2" xfId="0" applyFont="1" applyBorder="1" applyAlignment="1">
      <alignment horizontal="center"/>
    </xf>
    <xf numFmtId="0" fontId="6" fillId="0" borderId="5" xfId="0" applyFont="1" applyBorder="1" applyAlignment="1">
      <alignment horizontal="center"/>
    </xf>
    <xf numFmtId="0" fontId="6" fillId="0" borderId="8" xfId="0" applyFont="1" applyBorder="1" applyAlignment="1">
      <alignment horizontal="center"/>
    </xf>
    <xf numFmtId="0" fontId="19" fillId="0" borderId="2" xfId="1" applyFont="1" applyBorder="1" applyAlignment="1">
      <alignment horizontal="center"/>
    </xf>
    <xf numFmtId="0" fontId="19" fillId="0" borderId="3" xfId="1" applyFont="1" applyBorder="1" applyAlignment="1">
      <alignment horizontal="center"/>
    </xf>
    <xf numFmtId="0" fontId="19" fillId="0" borderId="5" xfId="1" applyFont="1" applyBorder="1" applyAlignment="1">
      <alignment horizontal="center"/>
    </xf>
    <xf numFmtId="0" fontId="19" fillId="0" borderId="6" xfId="1" applyFont="1" applyBorder="1" applyAlignment="1">
      <alignment horizontal="center"/>
    </xf>
    <xf numFmtId="0" fontId="19" fillId="0" borderId="8" xfId="1" applyFont="1" applyBorder="1" applyAlignment="1">
      <alignment horizontal="center"/>
    </xf>
    <xf numFmtId="0" fontId="19" fillId="0" borderId="9" xfId="1" applyFont="1" applyBorder="1" applyAlignment="1">
      <alignment horizontal="center"/>
    </xf>
    <xf numFmtId="0" fontId="6" fillId="0" borderId="14" xfId="0" applyFont="1" applyBorder="1" applyAlignment="1">
      <alignment horizontal="left" vertical="top" wrapText="1"/>
    </xf>
    <xf numFmtId="0" fontId="6" fillId="0" borderId="12" xfId="0" applyFont="1" applyBorder="1" applyAlignment="1">
      <alignment horizontal="left" vertical="top" wrapText="1"/>
    </xf>
    <xf numFmtId="0" fontId="6" fillId="0" borderId="15" xfId="0" applyFont="1" applyBorder="1" applyAlignment="1">
      <alignment horizontal="left" vertical="top" wrapText="1"/>
    </xf>
    <xf numFmtId="0" fontId="6" fillId="0" borderId="16"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18" xfId="0" applyFont="1" applyBorder="1" applyAlignment="1">
      <alignment horizontal="left" vertical="top" wrapText="1"/>
    </xf>
    <xf numFmtId="0" fontId="6" fillId="0" borderId="13" xfId="0" applyFont="1" applyBorder="1" applyAlignment="1">
      <alignment horizontal="left" vertical="top" wrapText="1"/>
    </xf>
    <xf numFmtId="0" fontId="6" fillId="0" borderId="19" xfId="0" applyFont="1" applyBorder="1" applyAlignment="1">
      <alignment horizontal="left" vertical="top" wrapText="1"/>
    </xf>
    <xf numFmtId="0" fontId="14" fillId="5" borderId="10" xfId="0" applyFont="1" applyFill="1" applyBorder="1" applyAlignment="1">
      <alignment horizontal="left"/>
    </xf>
    <xf numFmtId="0" fontId="14" fillId="5" borderId="21" xfId="0" applyFont="1" applyFill="1" applyBorder="1" applyAlignment="1">
      <alignment horizontal="left"/>
    </xf>
    <xf numFmtId="0" fontId="14" fillId="5" borderId="11" xfId="0" applyFont="1" applyFill="1" applyBorder="1" applyAlignment="1">
      <alignment horizontal="left"/>
    </xf>
    <xf numFmtId="0" fontId="14" fillId="5" borderId="4" xfId="0" applyFont="1" applyFill="1" applyBorder="1" applyAlignment="1">
      <alignment horizontal="left" vertical="top" wrapText="1"/>
    </xf>
    <xf numFmtId="0" fontId="14" fillId="5" borderId="5" xfId="0" applyFont="1" applyFill="1" applyBorder="1" applyAlignment="1">
      <alignment horizontal="left" vertical="top" wrapText="1"/>
    </xf>
    <xf numFmtId="0" fontId="14" fillId="5" borderId="6" xfId="0" applyFont="1" applyFill="1" applyBorder="1" applyAlignment="1">
      <alignment horizontal="left" vertical="top" wrapText="1"/>
    </xf>
    <xf numFmtId="0" fontId="14" fillId="5" borderId="33" xfId="0" applyFont="1" applyFill="1" applyBorder="1" applyAlignment="1">
      <alignment horizontal="center" vertical="top" wrapText="1"/>
    </xf>
    <xf numFmtId="0" fontId="14" fillId="5" borderId="34" xfId="0" applyFont="1" applyFill="1" applyBorder="1" applyAlignment="1">
      <alignment horizontal="center" vertical="top" wrapText="1"/>
    </xf>
    <xf numFmtId="0" fontId="18" fillId="2" borderId="22"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4" xfId="0" applyFont="1" applyFill="1" applyBorder="1" applyAlignment="1">
      <alignment horizontal="center" vertical="center"/>
    </xf>
    <xf numFmtId="0" fontId="17" fillId="3" borderId="0" xfId="0" applyFont="1" applyFill="1" applyAlignment="1">
      <alignment horizontal="left" vertical="top" wrapText="1"/>
    </xf>
    <xf numFmtId="0" fontId="17" fillId="3" borderId="0" xfId="0" applyFont="1" applyFill="1" applyAlignment="1">
      <alignment horizontal="left" vertical="top"/>
    </xf>
    <xf numFmtId="0" fontId="14" fillId="2" borderId="28" xfId="0" applyFont="1" applyFill="1" applyBorder="1" applyAlignment="1">
      <alignment horizontal="center" vertical="center" wrapText="1"/>
    </xf>
    <xf numFmtId="0" fontId="14" fillId="2" borderId="29" xfId="0" applyFont="1" applyFill="1" applyBorder="1" applyAlignment="1">
      <alignment horizontal="center" vertical="center" wrapText="1"/>
    </xf>
    <xf numFmtId="0" fontId="14" fillId="2" borderId="31"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4" fillId="2" borderId="16" xfId="0" applyFont="1" applyFill="1" applyBorder="1" applyAlignment="1">
      <alignment horizontal="center" vertical="center" wrapText="1"/>
    </xf>
    <xf numFmtId="0" fontId="14" fillId="2" borderId="0" xfId="0" applyFont="1" applyFill="1" applyAlignment="1">
      <alignment horizontal="center" vertical="center" wrapText="1"/>
    </xf>
    <xf numFmtId="0" fontId="14" fillId="2" borderId="30" xfId="0" applyFont="1" applyFill="1" applyBorder="1" applyAlignment="1">
      <alignment horizontal="center" vertical="center" wrapText="1"/>
    </xf>
    <xf numFmtId="0" fontId="23" fillId="0" borderId="0" xfId="0" applyFont="1"/>
    <xf numFmtId="0" fontId="23" fillId="0" borderId="0" xfId="0" applyFont="1" applyAlignment="1">
      <alignment vertical="top"/>
    </xf>
    <xf numFmtId="0" fontId="23" fillId="0" borderId="0" xfId="0" applyFont="1" applyAlignment="1">
      <alignment vertical="top" wrapText="1"/>
    </xf>
    <xf numFmtId="0" fontId="14" fillId="2" borderId="15" xfId="0" applyFont="1" applyFill="1" applyBorder="1" applyAlignment="1">
      <alignment horizontal="center" vertical="top" wrapText="1"/>
    </xf>
    <xf numFmtId="0" fontId="14" fillId="5" borderId="0" xfId="0" applyFont="1" applyFill="1" applyBorder="1" applyAlignment="1">
      <alignment horizontal="left" vertical="top" wrapText="1"/>
    </xf>
    <xf numFmtId="0" fontId="24" fillId="2" borderId="3" xfId="0" applyFont="1" applyFill="1" applyBorder="1" applyAlignment="1">
      <alignment horizontal="center" vertical="top" wrapText="1"/>
    </xf>
    <xf numFmtId="0" fontId="0" fillId="0" borderId="5" xfId="0" applyFont="1" applyBorder="1" applyAlignment="1">
      <alignment vertical="top" wrapText="1"/>
    </xf>
    <xf numFmtId="0" fontId="24" fillId="5" borderId="5" xfId="0" applyFont="1" applyFill="1" applyBorder="1" applyAlignment="1">
      <alignment horizontal="left" vertical="top" wrapText="1"/>
    </xf>
    <xf numFmtId="0" fontId="25" fillId="0" borderId="5" xfId="0" applyFont="1" applyBorder="1" applyAlignment="1">
      <alignment vertical="top" wrapText="1"/>
    </xf>
  </cellXfs>
  <cellStyles count="2">
    <cellStyle name="Hyperlink" xfId="1" builtinId="8"/>
    <cellStyle name="Normal" xfId="0" builtinId="0"/>
  </cellStyles>
  <dxfs count="36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val="0"/>
        <i/>
        <color auto="1"/>
      </font>
      <fill>
        <patternFill>
          <bgColor rgb="FFFF0000"/>
        </patternFill>
      </fill>
    </dxf>
    <dxf>
      <font>
        <color rgb="FF9C0006"/>
      </font>
      <fill>
        <patternFill>
          <bgColor rgb="FFFFC7CE"/>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theme="2"/>
        </patternFill>
      </fill>
    </dxf>
    <dxf>
      <font>
        <b val="0"/>
        <i/>
      </font>
      <fill>
        <patternFill>
          <bgColor rgb="FF92D050"/>
        </patternFill>
      </fill>
    </dxf>
    <dxf>
      <font>
        <b val="0"/>
        <i/>
      </font>
      <fill>
        <patternFill>
          <bgColor rgb="FFFFC000"/>
        </patternFill>
      </fill>
    </dxf>
    <dxf>
      <font>
        <b val="0"/>
        <i/>
      </font>
      <fill>
        <patternFill>
          <bgColor rgb="FFFFFF00"/>
        </patternFill>
      </fill>
    </dxf>
  </dxfs>
  <tableStyles count="1" defaultTableStyle="TableStyleMedium2" defaultPivotStyle="PivotStyleLight16">
    <tableStyle name="Invisible" pivot="0" table="0" count="0" xr9:uid="{4468AB68-F557-41FA-9229-B74B8B59364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Contextual Audit Scoring</a:t>
              </a:r>
            </a:p>
            <a:p>
              <a:pPr algn="ctr" rtl="0">
                <a:defRPr sz="1000"/>
              </a:pPr>
              <a:endParaRPr lang="en-GB" sz="1200" b="0" i="1"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0</xdr:rowOff>
        </xdr:from>
        <xdr:to>
          <xdr:col>7</xdr:col>
          <xdr:colOff>12700</xdr:colOff>
          <xdr:row>19</xdr:row>
          <xdr:rowOff>12700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Conceptual Audit Scorning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31</xdr:row>
          <xdr:rowOff>0</xdr:rowOff>
        </xdr:from>
        <xdr:to>
          <xdr:col>7</xdr:col>
          <xdr:colOff>12700</xdr:colOff>
          <xdr:row>33</xdr:row>
          <xdr:rowOff>12700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Logical Audit Scorning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56</xdr:row>
          <xdr:rowOff>0</xdr:rowOff>
        </xdr:from>
        <xdr:to>
          <xdr:col>7</xdr:col>
          <xdr:colOff>12700</xdr:colOff>
          <xdr:row>58</xdr:row>
          <xdr:rowOff>12700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Operational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85</xdr:row>
          <xdr:rowOff>0</xdr:rowOff>
        </xdr:from>
        <xdr:to>
          <xdr:col>7</xdr:col>
          <xdr:colOff>12700</xdr:colOff>
          <xdr:row>87</xdr:row>
          <xdr:rowOff>12700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Physical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104</xdr:row>
          <xdr:rowOff>0</xdr:rowOff>
        </xdr:from>
        <xdr:to>
          <xdr:col>7</xdr:col>
          <xdr:colOff>12700</xdr:colOff>
          <xdr:row>106</xdr:row>
          <xdr:rowOff>12700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200" b="0" i="1" u="none" strike="noStrike" baseline="0">
                  <a:solidFill>
                    <a:srgbClr val="000000"/>
                  </a:solidFill>
                  <a:latin typeface="Arial" pitchFamily="2" charset="0"/>
                  <a:cs typeface="Arial" pitchFamily="2" charset="0"/>
                </a:rPr>
                <a:t>Clear Component Audit Scoring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8229600</xdr:colOff>
          <xdr:row>135</xdr:row>
          <xdr:rowOff>0</xdr:rowOff>
        </xdr:from>
        <xdr:to>
          <xdr:col>3</xdr:col>
          <xdr:colOff>1257300</xdr:colOff>
          <xdr:row>136</xdr:row>
          <xdr:rowOff>203200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pitchFamily="2" charset="0"/>
                  <a:cs typeface="Calibri" pitchFamily="2" charset="0"/>
                </a:rPr>
                <a:t>Click To Proceed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A6EB6AE/Risk%20Assessment%20Worksheet_Airoli-vodafone-15-7-20009.xls" TargetMode="External"/><Relationship Id="rId1" Type="http://schemas.openxmlformats.org/officeDocument/2006/relationships/externalLinkPath" Target="/2A6EB6AE/Risk%20Assessment%20Worksheet_Airoli-vodafone-15-7-20009.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indelvdicfs/InboundTransfers/Users/kedart/AppData/Local/Microsoft/Windows/Temporary%20Internet%20Files/Content.Outlook/II31L4MU/KPMG%20Report-%20SOC%20observations%20for%20Bank%20of%20Baroda_28%20July%202014.xlsx" TargetMode="External"/><Relationship Id="rId1" Type="http://schemas.openxmlformats.org/officeDocument/2006/relationships/externalLinkPath" Target="/indelvdicfs/InboundTransfers/Users/kedart/AppData/Local/Microsoft/Windows/Temporary%20Internet%20Files/Content.Outlook/II31L4MU/KPMG%20Report-%20SOC%20observations%20for%20Bank%20of%20Baroda_28%20July%20201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E3D1149/Risk%20Assessment%20Worksheet_Airoli-vodafone-15-7-20009.xls" TargetMode="External"/><Relationship Id="rId1" Type="http://schemas.openxmlformats.org/officeDocument/2006/relationships/externalLinkPath" Target="/FE3D1149/Risk%20Assessment%20Worksheet_Airoli-vodafone-15-7-200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ocument Details"/>
      <sheetName val="Physical"/>
      <sheetName val="Software"/>
      <sheetName val="Services"/>
      <sheetName val="Threat_Database"/>
      <sheetName val="Risk Description"/>
      <sheetName val="Parameters"/>
      <sheetName val="10.166.35.245"/>
      <sheetName val="Dashboard"/>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sheetName val="Report Summary"/>
      <sheetName val="Notes to Reader"/>
      <sheetName val="SOC Observations"/>
      <sheetName val="IssuesLog"/>
      <sheetName val="Reference"/>
    </sheetNames>
    <sheetDataSet>
      <sheetData sheetId="0" refreshError="1"/>
      <sheetData sheetId="1"/>
      <sheetData sheetId="2" refreshError="1"/>
      <sheetData sheetId="3"/>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ocument Details"/>
      <sheetName val="Physical"/>
      <sheetName val="Software"/>
      <sheetName val="Services"/>
      <sheetName val="Threat_Database"/>
      <sheetName val="soc observations"/>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2332-58FF-4B10-B18F-DE9736FD318A}">
  <sheetPr codeName="Sheet1">
    <tabColor theme="5"/>
  </sheetPr>
  <dimension ref="A1:P22"/>
  <sheetViews>
    <sheetView showGridLines="0" zoomScale="70" zoomScaleNormal="70" workbookViewId="0"/>
  </sheetViews>
  <sheetFormatPr baseColWidth="10" defaultColWidth="0" defaultRowHeight="15" zeroHeight="1" x14ac:dyDescent="0.2"/>
  <cols>
    <col min="1" max="1" width="1.33203125" customWidth="1"/>
    <col min="2" max="15" width="8.6640625" customWidth="1"/>
    <col min="16" max="16" width="4.5" customWidth="1"/>
    <col min="17" max="16384" width="8.6640625" hidden="1"/>
  </cols>
  <sheetData>
    <row r="1" spans="2:15" ht="7" customHeight="1" thickBot="1" x14ac:dyDescent="0.25"/>
    <row r="2" spans="2:15" ht="14.5" customHeight="1" x14ac:dyDescent="0.2">
      <c r="B2" s="2"/>
      <c r="C2" s="3"/>
      <c r="D2" s="3"/>
      <c r="E2" s="3"/>
      <c r="F2" s="3"/>
      <c r="G2" s="3"/>
      <c r="H2" s="3"/>
      <c r="I2" s="3"/>
      <c r="J2" s="3"/>
      <c r="K2" s="3"/>
      <c r="L2" s="3"/>
      <c r="M2" s="3"/>
      <c r="N2" s="3"/>
      <c r="O2" s="4"/>
    </row>
    <row r="3" spans="2:15" ht="14.5" customHeight="1" x14ac:dyDescent="0.2">
      <c r="B3" s="5"/>
      <c r="C3" s="1"/>
      <c r="D3" s="1"/>
      <c r="E3" s="1"/>
      <c r="F3" s="1"/>
      <c r="G3" s="1"/>
      <c r="H3" s="1"/>
      <c r="I3" s="1"/>
      <c r="J3" s="1"/>
      <c r="K3" s="1"/>
      <c r="L3" s="1"/>
      <c r="M3" s="1"/>
      <c r="N3" s="1"/>
      <c r="O3" s="6"/>
    </row>
    <row r="4" spans="2:15" ht="14.5" customHeight="1" x14ac:dyDescent="0.2">
      <c r="B4" s="5"/>
      <c r="C4" s="1"/>
      <c r="D4" s="1"/>
      <c r="E4" s="1"/>
      <c r="F4" s="1"/>
      <c r="G4" s="1"/>
      <c r="H4" s="1"/>
      <c r="I4" s="1"/>
      <c r="J4" s="1"/>
      <c r="K4" s="1"/>
      <c r="L4" s="1"/>
      <c r="M4" s="1"/>
      <c r="N4" s="1"/>
      <c r="O4" s="6"/>
    </row>
    <row r="5" spans="2:15" ht="14.5" customHeight="1" x14ac:dyDescent="0.2">
      <c r="B5" s="5"/>
      <c r="C5" s="1"/>
      <c r="D5" s="1"/>
      <c r="E5" s="1"/>
      <c r="F5" s="1"/>
      <c r="G5" s="1"/>
      <c r="H5" s="1"/>
      <c r="I5" s="1"/>
      <c r="J5" s="1"/>
      <c r="K5" s="1"/>
      <c r="L5" s="1"/>
      <c r="M5" s="1"/>
      <c r="N5" s="1"/>
      <c r="O5" s="6"/>
    </row>
    <row r="6" spans="2:15" ht="14.5" customHeight="1" x14ac:dyDescent="0.2">
      <c r="B6" s="92" t="s">
        <v>0</v>
      </c>
      <c r="C6" s="93"/>
      <c r="D6" s="93"/>
      <c r="E6" s="93"/>
      <c r="F6" s="93"/>
      <c r="G6" s="93"/>
      <c r="H6" s="93"/>
      <c r="I6" s="93"/>
      <c r="J6" s="93"/>
      <c r="K6" s="93"/>
      <c r="L6" s="93"/>
      <c r="M6" s="93"/>
      <c r="N6" s="93"/>
      <c r="O6" s="94"/>
    </row>
    <row r="7" spans="2:15" ht="14.5" customHeight="1" x14ac:dyDescent="0.2">
      <c r="B7" s="95"/>
      <c r="C7" s="93"/>
      <c r="D7" s="93"/>
      <c r="E7" s="93"/>
      <c r="F7" s="93"/>
      <c r="G7" s="93"/>
      <c r="H7" s="93"/>
      <c r="I7" s="93"/>
      <c r="J7" s="93"/>
      <c r="K7" s="93"/>
      <c r="L7" s="93"/>
      <c r="M7" s="93"/>
      <c r="N7" s="93"/>
      <c r="O7" s="94"/>
    </row>
    <row r="8" spans="2:15" ht="14.5" customHeight="1" x14ac:dyDescent="0.2">
      <c r="B8" s="95"/>
      <c r="C8" s="93"/>
      <c r="D8" s="93"/>
      <c r="E8" s="93"/>
      <c r="F8" s="93"/>
      <c r="G8" s="93"/>
      <c r="H8" s="93"/>
      <c r="I8" s="93"/>
      <c r="J8" s="93"/>
      <c r="K8" s="93"/>
      <c r="L8" s="93"/>
      <c r="M8" s="93"/>
      <c r="N8" s="93"/>
      <c r="O8" s="94"/>
    </row>
    <row r="9" spans="2:15" ht="14.5" customHeight="1" x14ac:dyDescent="0.2">
      <c r="B9" s="95"/>
      <c r="C9" s="93"/>
      <c r="D9" s="93"/>
      <c r="E9" s="93"/>
      <c r="F9" s="93"/>
      <c r="G9" s="93"/>
      <c r="H9" s="93"/>
      <c r="I9" s="93"/>
      <c r="J9" s="93"/>
      <c r="K9" s="93"/>
      <c r="L9" s="93"/>
      <c r="M9" s="93"/>
      <c r="N9" s="93"/>
      <c r="O9" s="94"/>
    </row>
    <row r="10" spans="2:15" ht="14.5" customHeight="1" x14ac:dyDescent="0.2">
      <c r="B10" s="5"/>
      <c r="C10" s="1"/>
      <c r="D10" s="1"/>
      <c r="E10" s="1"/>
      <c r="F10" s="1"/>
      <c r="G10" s="1"/>
      <c r="H10" s="1"/>
      <c r="I10" s="1"/>
      <c r="J10" s="1"/>
      <c r="K10" s="1"/>
      <c r="L10" s="1"/>
      <c r="M10" s="1"/>
      <c r="N10" s="1"/>
      <c r="O10" s="6"/>
    </row>
    <row r="11" spans="2:15" ht="14.5" customHeight="1" x14ac:dyDescent="0.2">
      <c r="B11" s="5"/>
      <c r="C11" s="1"/>
      <c r="D11" s="1"/>
      <c r="E11" s="96" t="s">
        <v>1</v>
      </c>
      <c r="F11" s="97"/>
      <c r="G11" s="97"/>
      <c r="H11" s="97"/>
      <c r="I11" s="97"/>
      <c r="J11" s="97"/>
      <c r="K11" s="97"/>
      <c r="L11" s="97"/>
      <c r="M11" s="1"/>
      <c r="N11" s="1"/>
      <c r="O11" s="6"/>
    </row>
    <row r="12" spans="2:15" ht="14.5" customHeight="1" x14ac:dyDescent="0.2">
      <c r="B12" s="5"/>
      <c r="C12" s="1"/>
      <c r="D12" s="1"/>
      <c r="E12" s="1"/>
      <c r="F12" s="1"/>
      <c r="G12" s="1"/>
      <c r="H12" s="1"/>
      <c r="I12" s="1"/>
      <c r="J12" s="1"/>
      <c r="K12" s="1"/>
      <c r="L12" s="1"/>
      <c r="M12" s="1"/>
      <c r="N12" s="1"/>
      <c r="O12" s="6"/>
    </row>
    <row r="13" spans="2:15" ht="14.5" customHeight="1" x14ac:dyDescent="0.2">
      <c r="B13" s="5"/>
      <c r="C13" s="1"/>
      <c r="D13" s="1"/>
      <c r="E13" s="98" t="s">
        <v>2</v>
      </c>
      <c r="F13" s="97"/>
      <c r="G13" s="97"/>
      <c r="H13" s="97"/>
      <c r="I13" s="97"/>
      <c r="J13" s="97"/>
      <c r="K13" s="97"/>
      <c r="L13" s="97"/>
      <c r="M13" s="1"/>
      <c r="N13" s="1"/>
      <c r="O13" s="6"/>
    </row>
    <row r="14" spans="2:15" ht="14.5" customHeight="1" x14ac:dyDescent="0.2">
      <c r="B14" s="5"/>
      <c r="C14" s="1"/>
      <c r="D14" s="1"/>
      <c r="E14" s="1"/>
      <c r="F14" s="1"/>
      <c r="G14" s="1"/>
      <c r="H14" s="1"/>
      <c r="I14" s="1"/>
      <c r="J14" s="1"/>
      <c r="K14" s="1"/>
      <c r="L14" s="1"/>
      <c r="M14" s="1"/>
      <c r="N14" s="1"/>
      <c r="O14" s="6"/>
    </row>
    <row r="15" spans="2:15" ht="14.5" customHeight="1" x14ac:dyDescent="0.2">
      <c r="B15" s="5"/>
      <c r="C15" s="1"/>
      <c r="D15" s="1"/>
      <c r="E15" s="1"/>
      <c r="F15" s="1"/>
      <c r="G15" s="1"/>
      <c r="H15" s="1"/>
      <c r="I15" s="1"/>
      <c r="J15" s="1"/>
      <c r="K15" s="1"/>
      <c r="L15" s="1"/>
      <c r="M15" s="1"/>
      <c r="N15" s="1"/>
      <c r="O15" s="6"/>
    </row>
    <row r="16" spans="2:15" ht="14.5" customHeight="1" x14ac:dyDescent="0.2">
      <c r="B16" s="99"/>
      <c r="C16" s="100"/>
      <c r="D16" s="100"/>
      <c r="E16" s="100"/>
      <c r="F16" s="100"/>
      <c r="G16" s="100"/>
      <c r="H16" s="100"/>
      <c r="I16" s="100"/>
      <c r="J16" s="100"/>
      <c r="K16" s="100"/>
      <c r="L16" s="100"/>
      <c r="M16" s="100"/>
      <c r="N16" s="100"/>
      <c r="O16" s="101"/>
    </row>
    <row r="17" spans="2:15" ht="14.5" customHeight="1" x14ac:dyDescent="0.2">
      <c r="B17" s="99"/>
      <c r="C17" s="100"/>
      <c r="D17" s="100"/>
      <c r="E17" s="100"/>
      <c r="F17" s="100"/>
      <c r="G17" s="100"/>
      <c r="H17" s="100"/>
      <c r="I17" s="100"/>
      <c r="J17" s="100"/>
      <c r="K17" s="100"/>
      <c r="L17" s="100"/>
      <c r="M17" s="100"/>
      <c r="N17" s="100"/>
      <c r="O17" s="101"/>
    </row>
    <row r="18" spans="2:15" ht="14.5" customHeight="1" thickBot="1" x14ac:dyDescent="0.25">
      <c r="B18" s="7"/>
      <c r="C18" s="8"/>
      <c r="D18" s="8"/>
      <c r="E18" s="8"/>
      <c r="F18" s="8"/>
      <c r="G18" s="8"/>
      <c r="H18" s="8"/>
      <c r="I18" s="8"/>
      <c r="J18" s="8"/>
      <c r="K18" s="8"/>
      <c r="L18" s="8"/>
      <c r="M18" s="8"/>
      <c r="N18" s="8"/>
      <c r="O18" s="9"/>
    </row>
    <row r="19" spans="2:15" x14ac:dyDescent="0.2"/>
    <row r="20" spans="2:15" x14ac:dyDescent="0.2"/>
    <row r="21" spans="2:15" x14ac:dyDescent="0.2"/>
    <row r="22" spans="2:15" x14ac:dyDescent="0.2"/>
  </sheetData>
  <mergeCells count="4">
    <mergeCell ref="B6:O9"/>
    <mergeCell ref="E11:L11"/>
    <mergeCell ref="E13:L13"/>
    <mergeCell ref="B16:O1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678BF-3919-4B33-A7DB-1237B0E69C9A}">
  <sheetPr codeName="Sheet5">
    <tabColor theme="7"/>
  </sheetPr>
  <dimension ref="A1:F37"/>
  <sheetViews>
    <sheetView showGridLines="0" zoomScale="70" zoomScaleNormal="70" workbookViewId="0"/>
  </sheetViews>
  <sheetFormatPr baseColWidth="10" defaultColWidth="0" defaultRowHeight="0" customHeight="1" zeroHeight="1" x14ac:dyDescent="0.15"/>
  <cols>
    <col min="1" max="1" width="1.83203125" style="10" customWidth="1"/>
    <col min="2" max="2" width="149.83203125" style="10" customWidth="1"/>
    <col min="3" max="3" width="24.5" style="10" customWidth="1"/>
    <col min="4" max="4" width="15.83203125" style="10" bestFit="1" customWidth="1"/>
    <col min="5" max="5" width="16.1640625" style="10" bestFit="1" customWidth="1"/>
    <col min="6" max="6" width="9.1640625" style="10" customWidth="1"/>
    <col min="7" max="16384" width="9.1640625" style="10" hidden="1"/>
  </cols>
  <sheetData>
    <row r="1" spans="2:5" ht="10" customHeight="1" x14ac:dyDescent="0.15"/>
    <row r="2" spans="2:5" ht="30" customHeight="1" x14ac:dyDescent="0.15">
      <c r="B2" s="12"/>
      <c r="C2" s="12"/>
    </row>
    <row r="3" spans="2:5" ht="15" hidden="1" x14ac:dyDescent="0.15">
      <c r="B3" s="19" t="s">
        <v>3</v>
      </c>
      <c r="C3" s="16" t="s">
        <v>4</v>
      </c>
      <c r="D3" s="15"/>
      <c r="E3" s="15"/>
    </row>
    <row r="4" spans="2:5" ht="15" x14ac:dyDescent="0.15">
      <c r="B4" s="20" t="s">
        <v>5</v>
      </c>
      <c r="C4" s="17"/>
      <c r="D4" s="15"/>
      <c r="E4" s="15"/>
    </row>
    <row r="5" spans="2:5" ht="16" thickBot="1" x14ac:dyDescent="0.2">
      <c r="B5" s="21" t="s">
        <v>6</v>
      </c>
      <c r="C5" s="18"/>
      <c r="D5" s="15"/>
      <c r="E5" s="15"/>
    </row>
    <row r="6" spans="2:5" ht="30" customHeight="1" x14ac:dyDescent="0.15">
      <c r="B6" s="13"/>
      <c r="C6" s="13"/>
      <c r="D6" s="13"/>
      <c r="E6" s="13"/>
    </row>
    <row r="7" spans="2:5" ht="15" thickBot="1" x14ac:dyDescent="0.2">
      <c r="B7" s="14" t="s">
        <v>7</v>
      </c>
      <c r="C7" s="13"/>
      <c r="D7" s="13"/>
      <c r="E7" s="13"/>
    </row>
    <row r="8" spans="2:5" ht="17" customHeight="1" x14ac:dyDescent="0.15">
      <c r="B8" s="32" t="s">
        <v>8</v>
      </c>
      <c r="C8" s="33" t="s">
        <v>9</v>
      </c>
      <c r="D8" s="33" t="s">
        <v>10</v>
      </c>
      <c r="E8" s="34" t="s">
        <v>11</v>
      </c>
    </row>
    <row r="9" spans="2:5" ht="14" x14ac:dyDescent="0.15">
      <c r="B9" s="22">
        <v>0.1</v>
      </c>
      <c r="C9" s="23"/>
      <c r="D9" s="24"/>
      <c r="E9" s="17" t="s">
        <v>12</v>
      </c>
    </row>
    <row r="10" spans="2:5" ht="14" x14ac:dyDescent="0.15">
      <c r="B10" s="22">
        <v>0.2</v>
      </c>
      <c r="C10" s="23"/>
      <c r="D10" s="24"/>
      <c r="E10" s="25" t="s">
        <v>13</v>
      </c>
    </row>
    <row r="11" spans="2:5" ht="14" x14ac:dyDescent="0.15">
      <c r="B11" s="22">
        <v>0.3</v>
      </c>
      <c r="C11" s="23"/>
      <c r="D11" s="24"/>
      <c r="E11" s="25" t="s">
        <v>14</v>
      </c>
    </row>
    <row r="12" spans="2:5" ht="15" thickBot="1" x14ac:dyDescent="0.2">
      <c r="B12" s="27">
        <v>1</v>
      </c>
      <c r="C12" s="29"/>
      <c r="D12" s="28"/>
      <c r="E12" s="18" t="s">
        <v>15</v>
      </c>
    </row>
    <row r="13" spans="2:5" ht="30" customHeight="1" x14ac:dyDescent="0.15">
      <c r="B13" s="13"/>
      <c r="C13" s="13"/>
      <c r="D13" s="13"/>
      <c r="E13" s="13"/>
    </row>
    <row r="14" spans="2:5" ht="15" thickBot="1" x14ac:dyDescent="0.2">
      <c r="B14" s="14" t="s">
        <v>16</v>
      </c>
      <c r="C14" s="13"/>
      <c r="D14" s="13"/>
      <c r="E14" s="13"/>
    </row>
    <row r="15" spans="2:5" ht="19" customHeight="1" x14ac:dyDescent="0.15">
      <c r="B15" s="32" t="s">
        <v>17</v>
      </c>
      <c r="C15" s="33" t="s">
        <v>18</v>
      </c>
      <c r="D15" s="33" t="s">
        <v>19</v>
      </c>
      <c r="E15" s="34" t="s">
        <v>20</v>
      </c>
    </row>
    <row r="16" spans="2:5" ht="14" x14ac:dyDescent="0.15">
      <c r="B16" s="22">
        <v>0.3</v>
      </c>
      <c r="C16" s="26">
        <f>C11</f>
        <v>0</v>
      </c>
      <c r="D16" s="26" t="s">
        <v>21</v>
      </c>
      <c r="E16" s="35">
        <f>D11</f>
        <v>0</v>
      </c>
    </row>
    <row r="17" spans="2:5" ht="15" thickBot="1" x14ac:dyDescent="0.2">
      <c r="B17" s="27">
        <v>1</v>
      </c>
      <c r="C17" s="30">
        <f>C12</f>
        <v>0</v>
      </c>
      <c r="D17" s="30" t="s">
        <v>21</v>
      </c>
      <c r="E17" s="31">
        <f>D12</f>
        <v>0</v>
      </c>
    </row>
    <row r="18" spans="2:5" ht="30.5" customHeight="1" x14ac:dyDescent="0.15">
      <c r="B18" s="13"/>
      <c r="C18" s="13"/>
      <c r="D18" s="13"/>
      <c r="E18" s="13"/>
    </row>
    <row r="19" spans="2:5" ht="15" thickBot="1" x14ac:dyDescent="0.2">
      <c r="B19" s="14" t="s">
        <v>22</v>
      </c>
      <c r="C19" s="13"/>
      <c r="D19" s="13"/>
      <c r="E19" s="13"/>
    </row>
    <row r="20" spans="2:5" ht="16.5" customHeight="1" thickBot="1" x14ac:dyDescent="0.2">
      <c r="B20" s="102" t="s">
        <v>23</v>
      </c>
      <c r="C20" s="103"/>
      <c r="D20" s="103"/>
      <c r="E20" s="104"/>
    </row>
    <row r="21" spans="2:5" ht="27" customHeight="1" x14ac:dyDescent="0.15">
      <c r="B21" s="12"/>
      <c r="C21" s="12"/>
    </row>
    <row r="22" spans="2:5" ht="45" hidden="1" customHeight="1" x14ac:dyDescent="0.15">
      <c r="B22" s="12"/>
      <c r="C22" s="12"/>
    </row>
    <row r="23" spans="2:5" ht="45" hidden="1" customHeight="1" x14ac:dyDescent="0.15">
      <c r="B23" s="12"/>
      <c r="C23" s="12"/>
    </row>
    <row r="24" spans="2:5" ht="45" hidden="1" customHeight="1" x14ac:dyDescent="0.15">
      <c r="B24" s="12"/>
      <c r="C24" s="12"/>
    </row>
    <row r="25" spans="2:5" ht="45" hidden="1" customHeight="1" x14ac:dyDescent="0.15">
      <c r="B25" s="12"/>
      <c r="C25" s="12"/>
    </row>
    <row r="26" spans="2:5" ht="45" hidden="1" customHeight="1" x14ac:dyDescent="0.15">
      <c r="B26" s="12"/>
      <c r="C26" s="12"/>
    </row>
    <row r="27" spans="2:5" ht="45" hidden="1" customHeight="1" x14ac:dyDescent="0.15">
      <c r="B27" s="12"/>
      <c r="C27" s="12"/>
    </row>
    <row r="28" spans="2:5" ht="45" hidden="1" customHeight="1" x14ac:dyDescent="0.15">
      <c r="B28" s="12"/>
      <c r="C28" s="12"/>
    </row>
    <row r="29" spans="2:5" ht="45" hidden="1" customHeight="1" x14ac:dyDescent="0.15">
      <c r="B29" s="12"/>
      <c r="C29" s="12"/>
    </row>
    <row r="30" spans="2:5" ht="45" hidden="1" customHeight="1" x14ac:dyDescent="0.15">
      <c r="B30" s="12"/>
      <c r="C30" s="12"/>
    </row>
    <row r="31" spans="2:5" ht="45" hidden="1" customHeight="1" x14ac:dyDescent="0.15">
      <c r="B31" s="12"/>
      <c r="C31" s="12"/>
    </row>
    <row r="32" spans="2:5" ht="45" hidden="1" customHeight="1" x14ac:dyDescent="0.15">
      <c r="B32" s="12"/>
      <c r="C32" s="12"/>
    </row>
    <row r="33" spans="2:3" ht="45" hidden="1" customHeight="1" x14ac:dyDescent="0.15">
      <c r="B33" s="12"/>
      <c r="C33" s="12"/>
    </row>
    <row r="34" spans="2:3" ht="45" hidden="1" customHeight="1" x14ac:dyDescent="0.15">
      <c r="B34" s="12"/>
      <c r="C34" s="12"/>
    </row>
    <row r="35" spans="2:3" ht="45" hidden="1" customHeight="1" x14ac:dyDescent="0.15">
      <c r="B35" s="12"/>
      <c r="C35" s="12"/>
    </row>
    <row r="36" spans="2:3" ht="45" hidden="1" customHeight="1" x14ac:dyDescent="0.15">
      <c r="B36" s="12"/>
      <c r="C36" s="12"/>
    </row>
    <row r="37" spans="2:3" ht="15.75" hidden="1" customHeight="1" x14ac:dyDescent="0.15"/>
  </sheetData>
  <mergeCells count="1">
    <mergeCell ref="B20:E20"/>
  </mergeCells>
  <pageMargins left="0.7" right="0.7" top="0.75" bottom="0.75" header="0.3" footer="0.3"/>
  <pageSetup scale="55" orientation="portrait" r:id="rId1"/>
  <colBreaks count="1" manualBreakCount="1">
    <brk id="4"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EBE45-F84A-4E53-9EB2-E6084F84E876}">
  <sheetPr codeName="Sheet6">
    <tabColor theme="8"/>
  </sheetPr>
  <dimension ref="A1:K8"/>
  <sheetViews>
    <sheetView showGridLines="0" zoomScaleNormal="100" workbookViewId="0"/>
  </sheetViews>
  <sheetFormatPr baseColWidth="10" defaultColWidth="0" defaultRowHeight="14" zeroHeight="1" x14ac:dyDescent="0.15"/>
  <cols>
    <col min="1" max="1" width="1.83203125" style="10" customWidth="1"/>
    <col min="2" max="2" width="8.6640625" style="10" customWidth="1"/>
    <col min="3" max="3" width="3.33203125" style="10" customWidth="1"/>
    <col min="4" max="5" width="8.6640625" style="10" customWidth="1"/>
    <col min="6" max="6" width="9.5" style="10" customWidth="1"/>
    <col min="7" max="11" width="8.6640625" style="10" customWidth="1"/>
    <col min="12" max="16384" width="8.6640625" style="10" hidden="1"/>
  </cols>
  <sheetData>
    <row r="1" spans="2:10" ht="10" customHeight="1" thickBot="1" x14ac:dyDescent="0.2"/>
    <row r="2" spans="2:10" ht="15" customHeight="1" thickBot="1" x14ac:dyDescent="0.2">
      <c r="B2" s="105" t="s">
        <v>24</v>
      </c>
      <c r="C2" s="106"/>
      <c r="D2" s="106"/>
      <c r="E2" s="106"/>
      <c r="F2" s="106"/>
      <c r="G2" s="106"/>
      <c r="H2" s="106"/>
      <c r="I2" s="106"/>
      <c r="J2" s="107"/>
    </row>
    <row r="3" spans="2:10" ht="15" thickBot="1" x14ac:dyDescent="0.2"/>
    <row r="4" spans="2:10" x14ac:dyDescent="0.15">
      <c r="C4" s="36">
        <v>1</v>
      </c>
      <c r="D4" s="108" t="s">
        <v>25</v>
      </c>
      <c r="E4" s="108"/>
      <c r="F4" s="108"/>
      <c r="G4" s="111" t="s">
        <v>26</v>
      </c>
      <c r="H4" s="112"/>
    </row>
    <row r="5" spans="2:10" x14ac:dyDescent="0.15">
      <c r="C5" s="37">
        <v>2</v>
      </c>
      <c r="D5" s="109" t="s">
        <v>27</v>
      </c>
      <c r="E5" s="109"/>
      <c r="F5" s="109"/>
      <c r="G5" s="113" t="s">
        <v>26</v>
      </c>
      <c r="H5" s="114"/>
    </row>
    <row r="6" spans="2:10" x14ac:dyDescent="0.15">
      <c r="C6" s="37">
        <v>3</v>
      </c>
      <c r="D6" s="109" t="s">
        <v>28</v>
      </c>
      <c r="E6" s="109"/>
      <c r="F6" s="109"/>
      <c r="G6" s="113" t="s">
        <v>26</v>
      </c>
      <c r="H6" s="114"/>
    </row>
    <row r="7" spans="2:10" ht="15" thickBot="1" x14ac:dyDescent="0.2">
      <c r="C7" s="38">
        <v>4</v>
      </c>
      <c r="D7" s="110" t="s">
        <v>29</v>
      </c>
      <c r="E7" s="110"/>
      <c r="F7" s="110"/>
      <c r="G7" s="115" t="s">
        <v>26</v>
      </c>
      <c r="H7" s="116"/>
    </row>
    <row r="8" spans="2:10" x14ac:dyDescent="0.15"/>
  </sheetData>
  <mergeCells count="9">
    <mergeCell ref="B2:J2"/>
    <mergeCell ref="D4:F4"/>
    <mergeCell ref="D5:F5"/>
    <mergeCell ref="D6:F6"/>
    <mergeCell ref="D7:F7"/>
    <mergeCell ref="G4:H4"/>
    <mergeCell ref="G5:H5"/>
    <mergeCell ref="G6:H6"/>
    <mergeCell ref="G7:H7"/>
  </mergeCells>
  <hyperlinks>
    <hyperlink ref="G5:H5" location="Checklist!A1" display="Click to view" xr:uid="{D6EDBEC7-4E1A-4EB2-A05C-B79325F7B535}"/>
    <hyperlink ref="G6:H6" location="Score!A1" display="Click to view" xr:uid="{24B9E78F-45E0-445E-96EA-940DE6CC8252}"/>
    <hyperlink ref="G7:H7" location="Definations!A1" display="Click to view" xr:uid="{B62460A8-4BAC-4E6A-AD90-E6275DF8FC1D}"/>
    <hyperlink ref="G4:H4" location="Scope!A1" display="Click to view" xr:uid="{DEA3B9F8-CCEC-43AA-AA68-0369679B444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C853-011F-47C4-8EBB-D907B7EF294D}">
  <sheetPr codeName="Sheet7">
    <tabColor theme="9"/>
  </sheetPr>
  <dimension ref="A1:N29"/>
  <sheetViews>
    <sheetView showGridLines="0" zoomScale="85" zoomScaleNormal="85" workbookViewId="0"/>
  </sheetViews>
  <sheetFormatPr baseColWidth="10" defaultColWidth="0" defaultRowHeight="14" zeroHeight="1" x14ac:dyDescent="0.15"/>
  <cols>
    <col min="1" max="1" width="1.6640625" style="10" customWidth="1"/>
    <col min="2" max="12" width="8.6640625" style="10" customWidth="1"/>
    <col min="13" max="13" width="14.5" style="10" bestFit="1" customWidth="1"/>
    <col min="14" max="14" width="8.6640625" style="10" customWidth="1"/>
    <col min="15" max="16384" width="8.6640625" style="10" hidden="1"/>
  </cols>
  <sheetData>
    <row r="1" spans="2:13" ht="10" customHeight="1" thickBot="1" x14ac:dyDescent="0.2"/>
    <row r="2" spans="2:13" ht="15" thickBot="1" x14ac:dyDescent="0.2">
      <c r="B2" s="105" t="s">
        <v>30</v>
      </c>
      <c r="C2" s="106"/>
      <c r="D2" s="106"/>
      <c r="E2" s="106"/>
      <c r="F2" s="106"/>
      <c r="G2" s="106"/>
      <c r="H2" s="106"/>
      <c r="I2" s="106"/>
      <c r="J2" s="106"/>
      <c r="K2" s="106"/>
      <c r="L2" s="106"/>
      <c r="M2" s="39" t="s">
        <v>31</v>
      </c>
    </row>
    <row r="3" spans="2:13" ht="15" thickBot="1" x14ac:dyDescent="0.2"/>
    <row r="4" spans="2:13" ht="14.5" customHeight="1" thickBot="1" x14ac:dyDescent="0.2">
      <c r="B4" s="47" t="s">
        <v>25</v>
      </c>
      <c r="C4" s="117" t="s">
        <v>32</v>
      </c>
      <c r="D4" s="118"/>
      <c r="E4" s="118"/>
      <c r="F4" s="118"/>
      <c r="G4" s="118"/>
      <c r="H4" s="118"/>
      <c r="I4" s="118"/>
      <c r="J4" s="118"/>
      <c r="K4" s="118"/>
      <c r="L4" s="119"/>
    </row>
    <row r="5" spans="2:13" x14ac:dyDescent="0.15">
      <c r="C5" s="120"/>
      <c r="D5" s="121"/>
      <c r="E5" s="121"/>
      <c r="F5" s="121"/>
      <c r="G5" s="121"/>
      <c r="H5" s="121"/>
      <c r="I5" s="121"/>
      <c r="J5" s="121"/>
      <c r="K5" s="121"/>
      <c r="L5" s="122"/>
    </row>
    <row r="6" spans="2:13" x14ac:dyDescent="0.15">
      <c r="C6" s="120"/>
      <c r="D6" s="121"/>
      <c r="E6" s="121"/>
      <c r="F6" s="121"/>
      <c r="G6" s="121"/>
      <c r="H6" s="121"/>
      <c r="I6" s="121"/>
      <c r="J6" s="121"/>
      <c r="K6" s="121"/>
      <c r="L6" s="122"/>
    </row>
    <row r="7" spans="2:13" x14ac:dyDescent="0.15">
      <c r="C7" s="120"/>
      <c r="D7" s="121"/>
      <c r="E7" s="121"/>
      <c r="F7" s="121"/>
      <c r="G7" s="121"/>
      <c r="H7" s="121"/>
      <c r="I7" s="121"/>
      <c r="J7" s="121"/>
      <c r="K7" s="121"/>
      <c r="L7" s="122"/>
    </row>
    <row r="8" spans="2:13" x14ac:dyDescent="0.15">
      <c r="C8" s="120"/>
      <c r="D8" s="121"/>
      <c r="E8" s="121"/>
      <c r="F8" s="121"/>
      <c r="G8" s="121"/>
      <c r="H8" s="121"/>
      <c r="I8" s="121"/>
      <c r="J8" s="121"/>
      <c r="K8" s="121"/>
      <c r="L8" s="122"/>
    </row>
    <row r="9" spans="2:13" x14ac:dyDescent="0.15">
      <c r="C9" s="120"/>
      <c r="D9" s="121"/>
      <c r="E9" s="121"/>
      <c r="F9" s="121"/>
      <c r="G9" s="121"/>
      <c r="H9" s="121"/>
      <c r="I9" s="121"/>
      <c r="J9" s="121"/>
      <c r="K9" s="121"/>
      <c r="L9" s="122"/>
    </row>
    <row r="10" spans="2:13" x14ac:dyDescent="0.15">
      <c r="C10" s="120"/>
      <c r="D10" s="121"/>
      <c r="E10" s="121"/>
      <c r="F10" s="121"/>
      <c r="G10" s="121"/>
      <c r="H10" s="121"/>
      <c r="I10" s="121"/>
      <c r="J10" s="121"/>
      <c r="K10" s="121"/>
      <c r="L10" s="122"/>
    </row>
    <row r="11" spans="2:13" x14ac:dyDescent="0.15">
      <c r="C11" s="120"/>
      <c r="D11" s="121"/>
      <c r="E11" s="121"/>
      <c r="F11" s="121"/>
      <c r="G11" s="121"/>
      <c r="H11" s="121"/>
      <c r="I11" s="121"/>
      <c r="J11" s="121"/>
      <c r="K11" s="121"/>
      <c r="L11" s="122"/>
    </row>
    <row r="12" spans="2:13" x14ac:dyDescent="0.15">
      <c r="C12" s="120"/>
      <c r="D12" s="121"/>
      <c r="E12" s="121"/>
      <c r="F12" s="121"/>
      <c r="G12" s="121"/>
      <c r="H12" s="121"/>
      <c r="I12" s="121"/>
      <c r="J12" s="121"/>
      <c r="K12" s="121"/>
      <c r="L12" s="122"/>
    </row>
    <row r="13" spans="2:13" x14ac:dyDescent="0.15">
      <c r="C13" s="120"/>
      <c r="D13" s="121"/>
      <c r="E13" s="121"/>
      <c r="F13" s="121"/>
      <c r="G13" s="121"/>
      <c r="H13" s="121"/>
      <c r="I13" s="121"/>
      <c r="J13" s="121"/>
      <c r="K13" s="121"/>
      <c r="L13" s="122"/>
    </row>
    <row r="14" spans="2:13" x14ac:dyDescent="0.15">
      <c r="C14" s="120"/>
      <c r="D14" s="121"/>
      <c r="E14" s="121"/>
      <c r="F14" s="121"/>
      <c r="G14" s="121"/>
      <c r="H14" s="121"/>
      <c r="I14" s="121"/>
      <c r="J14" s="121"/>
      <c r="K14" s="121"/>
      <c r="L14" s="122"/>
    </row>
    <row r="15" spans="2:13" x14ac:dyDescent="0.15">
      <c r="C15" s="120"/>
      <c r="D15" s="121"/>
      <c r="E15" s="121"/>
      <c r="F15" s="121"/>
      <c r="G15" s="121"/>
      <c r="H15" s="121"/>
      <c r="I15" s="121"/>
      <c r="J15" s="121"/>
      <c r="K15" s="121"/>
      <c r="L15" s="122"/>
    </row>
    <row r="16" spans="2:13" x14ac:dyDescent="0.15">
      <c r="C16" s="120"/>
      <c r="D16" s="121"/>
      <c r="E16" s="121"/>
      <c r="F16" s="121"/>
      <c r="G16" s="121"/>
      <c r="H16" s="121"/>
      <c r="I16" s="121"/>
      <c r="J16" s="121"/>
      <c r="K16" s="121"/>
      <c r="L16" s="122"/>
    </row>
    <row r="17" spans="2:12" x14ac:dyDescent="0.15">
      <c r="C17" s="120"/>
      <c r="D17" s="121"/>
      <c r="E17" s="121"/>
      <c r="F17" s="121"/>
      <c r="G17" s="121"/>
      <c r="H17" s="121"/>
      <c r="I17" s="121"/>
      <c r="J17" s="121"/>
      <c r="K17" s="121"/>
      <c r="L17" s="122"/>
    </row>
    <row r="18" spans="2:12" x14ac:dyDescent="0.15">
      <c r="C18" s="120"/>
      <c r="D18" s="121"/>
      <c r="E18" s="121"/>
      <c r="F18" s="121"/>
      <c r="G18" s="121"/>
      <c r="H18" s="121"/>
      <c r="I18" s="121"/>
      <c r="J18" s="121"/>
      <c r="K18" s="121"/>
      <c r="L18" s="122"/>
    </row>
    <row r="19" spans="2:12" x14ac:dyDescent="0.15">
      <c r="C19" s="120"/>
      <c r="D19" s="121"/>
      <c r="E19" s="121"/>
      <c r="F19" s="121"/>
      <c r="G19" s="121"/>
      <c r="H19" s="121"/>
      <c r="I19" s="121"/>
      <c r="J19" s="121"/>
      <c r="K19" s="121"/>
      <c r="L19" s="122"/>
    </row>
    <row r="20" spans="2:12" ht="15" thickBot="1" x14ac:dyDescent="0.2">
      <c r="C20" s="123"/>
      <c r="D20" s="124"/>
      <c r="E20" s="124"/>
      <c r="F20" s="124"/>
      <c r="G20" s="124"/>
      <c r="H20" s="124"/>
      <c r="I20" s="124"/>
      <c r="J20" s="124"/>
      <c r="K20" s="124"/>
      <c r="L20" s="125"/>
    </row>
    <row r="21" spans="2:12" ht="15" thickBot="1" x14ac:dyDescent="0.2"/>
    <row r="22" spans="2:12" ht="15" thickBot="1" x14ac:dyDescent="0.2">
      <c r="B22" s="126" t="s">
        <v>33</v>
      </c>
      <c r="C22" s="127"/>
      <c r="D22" s="128"/>
    </row>
    <row r="23" spans="2:12" x14ac:dyDescent="0.15">
      <c r="C23" s="117" t="s">
        <v>34</v>
      </c>
      <c r="D23" s="118"/>
      <c r="E23" s="118"/>
      <c r="F23" s="118"/>
      <c r="G23" s="118"/>
      <c r="H23" s="118"/>
      <c r="I23" s="118"/>
      <c r="J23" s="118"/>
      <c r="K23" s="118"/>
      <c r="L23" s="119"/>
    </row>
    <row r="24" spans="2:12" x14ac:dyDescent="0.15">
      <c r="C24" s="120"/>
      <c r="D24" s="121"/>
      <c r="E24" s="121"/>
      <c r="F24" s="121"/>
      <c r="G24" s="121"/>
      <c r="H24" s="121"/>
      <c r="I24" s="121"/>
      <c r="J24" s="121"/>
      <c r="K24" s="121"/>
      <c r="L24" s="122"/>
    </row>
    <row r="25" spans="2:12" x14ac:dyDescent="0.15">
      <c r="C25" s="120"/>
      <c r="D25" s="121"/>
      <c r="E25" s="121"/>
      <c r="F25" s="121"/>
      <c r="G25" s="121"/>
      <c r="H25" s="121"/>
      <c r="I25" s="121"/>
      <c r="J25" s="121"/>
      <c r="K25" s="121"/>
      <c r="L25" s="122"/>
    </row>
    <row r="26" spans="2:12" x14ac:dyDescent="0.15">
      <c r="C26" s="120"/>
      <c r="D26" s="121"/>
      <c r="E26" s="121"/>
      <c r="F26" s="121"/>
      <c r="G26" s="121"/>
      <c r="H26" s="121"/>
      <c r="I26" s="121"/>
      <c r="J26" s="121"/>
      <c r="K26" s="121"/>
      <c r="L26" s="122"/>
    </row>
    <row r="27" spans="2:12" x14ac:dyDescent="0.15">
      <c r="C27" s="120"/>
      <c r="D27" s="121"/>
      <c r="E27" s="121"/>
      <c r="F27" s="121"/>
      <c r="G27" s="121"/>
      <c r="H27" s="121"/>
      <c r="I27" s="121"/>
      <c r="J27" s="121"/>
      <c r="K27" s="121"/>
      <c r="L27" s="122"/>
    </row>
    <row r="28" spans="2:12" ht="15" thickBot="1" x14ac:dyDescent="0.2">
      <c r="C28" s="123"/>
      <c r="D28" s="124"/>
      <c r="E28" s="124"/>
      <c r="F28" s="124"/>
      <c r="G28" s="124"/>
      <c r="H28" s="124"/>
      <c r="I28" s="124"/>
      <c r="J28" s="124"/>
      <c r="K28" s="124"/>
      <c r="L28" s="125"/>
    </row>
    <row r="29" spans="2:12" x14ac:dyDescent="0.15"/>
  </sheetData>
  <mergeCells count="4">
    <mergeCell ref="C4:L20"/>
    <mergeCell ref="B22:D22"/>
    <mergeCell ref="C23:L28"/>
    <mergeCell ref="B2:L2"/>
  </mergeCells>
  <hyperlinks>
    <hyperlink ref="M2" location="Index!A1" display="Click For Index" xr:uid="{AD402FD5-06E0-4D8B-A5CF-7D1F946A6EA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42A8-7EEB-4BCC-AE9F-D46224C9F1F9}">
  <sheetPr codeName="Sheet2">
    <tabColor rgb="FF00B0F0"/>
  </sheetPr>
  <dimension ref="A1:H138"/>
  <sheetViews>
    <sheetView showGridLines="0" tabSelected="1" zoomScale="117" zoomScaleNormal="117" workbookViewId="0">
      <pane ySplit="2" topLeftCell="A3" activePane="bottomLeft" state="frozen"/>
      <selection activeCell="A2" sqref="A2"/>
      <selection pane="bottomLeft" activeCell="E133" sqref="E133"/>
    </sheetView>
  </sheetViews>
  <sheetFormatPr baseColWidth="10" defaultColWidth="0" defaultRowHeight="14" zeroHeight="1" x14ac:dyDescent="0.15"/>
  <cols>
    <col min="1" max="1" width="1.33203125" style="48" customWidth="1"/>
    <col min="2" max="2" width="5.83203125" style="58" bestFit="1" customWidth="1"/>
    <col min="3" max="3" width="72.1640625" style="48" customWidth="1"/>
    <col min="4" max="4" width="19.83203125" style="58" customWidth="1"/>
    <col min="5" max="6" width="95.5" style="58" customWidth="1"/>
    <col min="7" max="7" width="19.1640625" style="48" bestFit="1" customWidth="1"/>
    <col min="8" max="8" width="8.6640625" style="48" customWidth="1"/>
    <col min="9" max="16384" width="8.6640625" style="48" hidden="1"/>
  </cols>
  <sheetData>
    <row r="1" spans="2:7" ht="7" customHeight="1" thickBot="1" x14ac:dyDescent="0.2">
      <c r="D1" s="48"/>
      <c r="E1" s="11"/>
      <c r="F1" s="11"/>
    </row>
    <row r="2" spans="2:7" ht="16" thickBot="1" x14ac:dyDescent="0.2">
      <c r="B2" s="49" t="s">
        <v>35</v>
      </c>
      <c r="C2" s="50" t="s">
        <v>36</v>
      </c>
      <c r="D2" s="50" t="s">
        <v>37</v>
      </c>
      <c r="E2" s="152" t="s">
        <v>38</v>
      </c>
      <c r="F2" s="150"/>
      <c r="G2" s="71" t="s">
        <v>31</v>
      </c>
    </row>
    <row r="3" spans="2:7" s="11" customFormat="1" ht="25" customHeight="1" x14ac:dyDescent="0.2">
      <c r="B3" s="129" t="s">
        <v>39</v>
      </c>
      <c r="C3" s="130"/>
      <c r="D3" s="130"/>
      <c r="E3" s="131"/>
      <c r="F3" s="151"/>
    </row>
    <row r="4" spans="2:7" s="11" customFormat="1" ht="61" customHeight="1" x14ac:dyDescent="0.2">
      <c r="B4" s="84">
        <v>1</v>
      </c>
      <c r="C4" s="53" t="s">
        <v>40</v>
      </c>
      <c r="D4" s="54"/>
      <c r="E4" s="153" t="s">
        <v>701</v>
      </c>
      <c r="F4" s="149"/>
    </row>
    <row r="5" spans="2:7" s="11" customFormat="1" ht="61" customHeight="1" x14ac:dyDescent="0.2">
      <c r="B5" s="84">
        <v>2</v>
      </c>
      <c r="C5" s="53" t="s">
        <v>41</v>
      </c>
      <c r="D5" s="54"/>
      <c r="E5" s="153" t="s">
        <v>707</v>
      </c>
      <c r="F5" s="149"/>
    </row>
    <row r="6" spans="2:7" s="11" customFormat="1" ht="61" customHeight="1" x14ac:dyDescent="0.2">
      <c r="B6" s="84">
        <v>3</v>
      </c>
      <c r="C6" s="53" t="s">
        <v>42</v>
      </c>
      <c r="D6" s="54"/>
      <c r="E6" s="153" t="s">
        <v>708</v>
      </c>
      <c r="F6" s="149"/>
    </row>
    <row r="7" spans="2:7" s="11" customFormat="1" ht="61" customHeight="1" x14ac:dyDescent="0.2">
      <c r="B7" s="84">
        <v>4</v>
      </c>
      <c r="C7" s="53" t="s">
        <v>43</v>
      </c>
      <c r="D7" s="54"/>
      <c r="E7" s="153" t="s">
        <v>709</v>
      </c>
      <c r="F7" s="149"/>
    </row>
    <row r="8" spans="2:7" s="11" customFormat="1" ht="61" customHeight="1" x14ac:dyDescent="0.2">
      <c r="B8" s="84">
        <v>5</v>
      </c>
      <c r="C8" s="53" t="s">
        <v>44</v>
      </c>
      <c r="D8" s="54"/>
      <c r="E8" s="153" t="s">
        <v>710</v>
      </c>
      <c r="F8" s="149"/>
    </row>
    <row r="9" spans="2:7" s="11" customFormat="1" ht="61" customHeight="1" x14ac:dyDescent="0.2">
      <c r="B9" s="84">
        <v>6</v>
      </c>
      <c r="C9" s="53" t="s">
        <v>45</v>
      </c>
      <c r="D9" s="54"/>
      <c r="E9" s="153" t="s">
        <v>711</v>
      </c>
      <c r="F9" s="149"/>
    </row>
    <row r="10" spans="2:7" s="11" customFormat="1" ht="61" customHeight="1" x14ac:dyDescent="0.2">
      <c r="B10" s="84">
        <v>7</v>
      </c>
      <c r="C10" s="42" t="s">
        <v>46</v>
      </c>
      <c r="D10" s="54"/>
      <c r="E10" s="153" t="s">
        <v>712</v>
      </c>
      <c r="F10" s="149"/>
    </row>
    <row r="11" spans="2:7" s="11" customFormat="1" ht="61" customHeight="1" x14ac:dyDescent="0.2">
      <c r="B11" s="84">
        <v>8</v>
      </c>
      <c r="C11" s="42" t="s">
        <v>47</v>
      </c>
      <c r="D11" s="54"/>
      <c r="E11" s="153" t="s">
        <v>713</v>
      </c>
      <c r="F11" s="149"/>
    </row>
    <row r="12" spans="2:7" s="11" customFormat="1" ht="61" customHeight="1" x14ac:dyDescent="0.2">
      <c r="B12" s="84">
        <v>9</v>
      </c>
      <c r="C12" s="53" t="s">
        <v>48</v>
      </c>
      <c r="D12" s="54"/>
      <c r="E12" s="153" t="s">
        <v>714</v>
      </c>
      <c r="F12" s="149"/>
    </row>
    <row r="13" spans="2:7" s="11" customFormat="1" ht="61" customHeight="1" x14ac:dyDescent="0.2">
      <c r="B13" s="84">
        <v>10</v>
      </c>
      <c r="C13" s="53" t="s">
        <v>49</v>
      </c>
      <c r="D13" s="54"/>
      <c r="E13" s="153" t="s">
        <v>715</v>
      </c>
      <c r="F13" s="149"/>
    </row>
    <row r="14" spans="2:7" s="11" customFormat="1" ht="61" customHeight="1" x14ac:dyDescent="0.2">
      <c r="B14" s="84">
        <v>11</v>
      </c>
      <c r="C14" s="53" t="s">
        <v>50</v>
      </c>
      <c r="D14" s="54"/>
      <c r="E14" s="153" t="s">
        <v>716</v>
      </c>
      <c r="F14" s="149"/>
    </row>
    <row r="15" spans="2:7" s="11" customFormat="1" ht="61" customHeight="1" x14ac:dyDescent="0.2">
      <c r="B15" s="84">
        <v>12</v>
      </c>
      <c r="C15" s="53" t="s">
        <v>51</v>
      </c>
      <c r="D15" s="54"/>
      <c r="E15" s="153" t="s">
        <v>717</v>
      </c>
      <c r="F15" s="149"/>
    </row>
    <row r="16" spans="2:7" s="11" customFormat="1" ht="61" customHeight="1" x14ac:dyDescent="0.2">
      <c r="B16" s="84">
        <v>13</v>
      </c>
      <c r="C16" s="53" t="s">
        <v>52</v>
      </c>
      <c r="D16" s="54"/>
      <c r="E16" s="153" t="s">
        <v>718</v>
      </c>
      <c r="F16" s="149"/>
    </row>
    <row r="17" spans="2:6" s="11" customFormat="1" ht="61" customHeight="1" x14ac:dyDescent="0.2">
      <c r="B17" s="84">
        <v>14</v>
      </c>
      <c r="C17" s="53" t="s">
        <v>53</v>
      </c>
      <c r="D17" s="54"/>
      <c r="E17" s="153" t="s">
        <v>719</v>
      </c>
      <c r="F17" s="149"/>
    </row>
    <row r="18" spans="2:6" s="11" customFormat="1" ht="25" customHeight="1" x14ac:dyDescent="0.2">
      <c r="B18" s="129" t="s">
        <v>54</v>
      </c>
      <c r="C18" s="130"/>
      <c r="D18" s="130"/>
      <c r="E18" s="154"/>
      <c r="F18" s="151"/>
    </row>
    <row r="19" spans="2:6" s="11" customFormat="1" ht="38.5" customHeight="1" x14ac:dyDescent="0.2">
      <c r="B19" s="84">
        <v>15</v>
      </c>
      <c r="C19" s="53" t="s">
        <v>55</v>
      </c>
      <c r="D19" s="54"/>
      <c r="E19" s="153" t="s">
        <v>720</v>
      </c>
      <c r="F19" s="148"/>
    </row>
    <row r="20" spans="2:6" s="11" customFormat="1" ht="38.5" customHeight="1" x14ac:dyDescent="0.2">
      <c r="B20" s="84">
        <v>16</v>
      </c>
      <c r="C20" s="53" t="s">
        <v>56</v>
      </c>
      <c r="D20" s="54"/>
      <c r="E20" s="153" t="s">
        <v>721</v>
      </c>
      <c r="F20" s="148"/>
    </row>
    <row r="21" spans="2:6" s="11" customFormat="1" ht="38.5" customHeight="1" x14ac:dyDescent="0.2">
      <c r="B21" s="84">
        <v>17</v>
      </c>
      <c r="C21" s="53" t="s">
        <v>57</v>
      </c>
      <c r="D21" s="54"/>
      <c r="E21" s="153" t="s">
        <v>722</v>
      </c>
      <c r="F21" s="148"/>
    </row>
    <row r="22" spans="2:6" s="11" customFormat="1" ht="38.5" customHeight="1" x14ac:dyDescent="0.2">
      <c r="B22" s="84">
        <v>18</v>
      </c>
      <c r="C22" s="42" t="s">
        <v>58</v>
      </c>
      <c r="D22" s="54"/>
      <c r="E22" s="153" t="s">
        <v>723</v>
      </c>
      <c r="F22" s="148"/>
    </row>
    <row r="23" spans="2:6" s="11" customFormat="1" ht="38.5" customHeight="1" x14ac:dyDescent="0.2">
      <c r="B23" s="84">
        <v>19</v>
      </c>
      <c r="C23" s="53" t="s">
        <v>59</v>
      </c>
      <c r="D23" s="54"/>
      <c r="E23" s="153" t="s">
        <v>724</v>
      </c>
      <c r="F23" s="148"/>
    </row>
    <row r="24" spans="2:6" s="11" customFormat="1" ht="38.5" customHeight="1" x14ac:dyDescent="0.2">
      <c r="B24" s="84">
        <v>20</v>
      </c>
      <c r="C24" s="53" t="s">
        <v>60</v>
      </c>
      <c r="D24" s="54"/>
      <c r="E24" s="153" t="s">
        <v>725</v>
      </c>
      <c r="F24" s="148"/>
    </row>
    <row r="25" spans="2:6" s="11" customFormat="1" ht="38.5" customHeight="1" x14ac:dyDescent="0.2">
      <c r="B25" s="84">
        <v>21</v>
      </c>
      <c r="C25" s="53" t="s">
        <v>61</v>
      </c>
      <c r="D25" s="54"/>
      <c r="E25" s="153" t="s">
        <v>726</v>
      </c>
      <c r="F25" s="148"/>
    </row>
    <row r="26" spans="2:6" s="11" customFormat="1" ht="38.5" customHeight="1" x14ac:dyDescent="0.2">
      <c r="B26" s="84">
        <v>22</v>
      </c>
      <c r="C26" s="53" t="s">
        <v>62</v>
      </c>
      <c r="D26" s="54"/>
      <c r="E26" s="153" t="s">
        <v>727</v>
      </c>
      <c r="F26" s="148"/>
    </row>
    <row r="27" spans="2:6" s="11" customFormat="1" ht="38.5" customHeight="1" x14ac:dyDescent="0.2">
      <c r="B27" s="84">
        <v>23</v>
      </c>
      <c r="C27" s="42" t="s">
        <v>63</v>
      </c>
      <c r="D27" s="54"/>
      <c r="E27" s="153" t="s">
        <v>728</v>
      </c>
      <c r="F27" s="148"/>
    </row>
    <row r="28" spans="2:6" s="11" customFormat="1" ht="38.5" customHeight="1" x14ac:dyDescent="0.2">
      <c r="B28" s="84">
        <v>24</v>
      </c>
      <c r="C28" s="53" t="s">
        <v>64</v>
      </c>
      <c r="D28" s="54"/>
      <c r="E28" s="153" t="s">
        <v>729</v>
      </c>
      <c r="F28" s="148"/>
    </row>
    <row r="29" spans="2:6" s="11" customFormat="1" ht="38.5" customHeight="1" x14ac:dyDescent="0.2">
      <c r="B29" s="84">
        <v>25</v>
      </c>
      <c r="C29" s="53" t="s">
        <v>65</v>
      </c>
      <c r="D29" s="54"/>
      <c r="E29" s="153" t="s">
        <v>730</v>
      </c>
      <c r="F29" s="148"/>
    </row>
    <row r="30" spans="2:6" s="11" customFormat="1" ht="38.5" customHeight="1" x14ac:dyDescent="0.2">
      <c r="B30" s="84">
        <v>26</v>
      </c>
      <c r="C30" s="53" t="s">
        <v>66</v>
      </c>
      <c r="D30" s="54"/>
      <c r="E30" s="153" t="s">
        <v>731</v>
      </c>
      <c r="F30" s="148"/>
    </row>
    <row r="31" spans="2:6" s="11" customFormat="1" ht="38.5" customHeight="1" x14ac:dyDescent="0.2">
      <c r="B31" s="84">
        <v>27</v>
      </c>
      <c r="C31" s="53" t="s">
        <v>67</v>
      </c>
      <c r="D31" s="54"/>
      <c r="E31" s="153" t="s">
        <v>732</v>
      </c>
      <c r="F31" s="148"/>
    </row>
    <row r="32" spans="2:6" s="11" customFormat="1" ht="25" customHeight="1" x14ac:dyDescent="0.2">
      <c r="B32" s="129" t="s">
        <v>68</v>
      </c>
      <c r="C32" s="130"/>
      <c r="D32" s="130"/>
      <c r="E32" s="154"/>
      <c r="F32" s="151"/>
    </row>
    <row r="33" spans="2:6" s="11" customFormat="1" ht="38.5" customHeight="1" x14ac:dyDescent="0.2">
      <c r="B33" s="84">
        <v>28</v>
      </c>
      <c r="C33" s="53" t="s">
        <v>69</v>
      </c>
      <c r="D33" s="54"/>
      <c r="E33" s="153" t="s">
        <v>733</v>
      </c>
      <c r="F33" s="148"/>
    </row>
    <row r="34" spans="2:6" s="11" customFormat="1" ht="38.5" customHeight="1" x14ac:dyDescent="0.2">
      <c r="B34" s="84">
        <v>29</v>
      </c>
      <c r="C34" s="42" t="s">
        <v>70</v>
      </c>
      <c r="D34" s="54"/>
      <c r="E34" s="153" t="s">
        <v>734</v>
      </c>
      <c r="F34" s="148"/>
    </row>
    <row r="35" spans="2:6" s="11" customFormat="1" ht="38.5" customHeight="1" x14ac:dyDescent="0.2">
      <c r="B35" s="84">
        <v>30</v>
      </c>
      <c r="C35" s="53" t="s">
        <v>71</v>
      </c>
      <c r="D35" s="54"/>
      <c r="E35" s="153" t="s">
        <v>735</v>
      </c>
      <c r="F35" s="148"/>
    </row>
    <row r="36" spans="2:6" s="11" customFormat="1" ht="38.5" customHeight="1" x14ac:dyDescent="0.2">
      <c r="B36" s="84">
        <v>31</v>
      </c>
      <c r="C36" s="53" t="s">
        <v>72</v>
      </c>
      <c r="D36" s="54"/>
      <c r="E36" s="153" t="s">
        <v>736</v>
      </c>
      <c r="F36" s="148"/>
    </row>
    <row r="37" spans="2:6" s="11" customFormat="1" ht="38.5" customHeight="1" x14ac:dyDescent="0.2">
      <c r="B37" s="84">
        <v>32</v>
      </c>
      <c r="C37" s="53" t="s">
        <v>73</v>
      </c>
      <c r="D37" s="54"/>
      <c r="E37" s="153" t="s">
        <v>737</v>
      </c>
      <c r="F37" s="148"/>
    </row>
    <row r="38" spans="2:6" s="11" customFormat="1" ht="38.5" customHeight="1" x14ac:dyDescent="0.2">
      <c r="B38" s="84">
        <v>33</v>
      </c>
      <c r="C38" s="53" t="s">
        <v>74</v>
      </c>
      <c r="D38" s="54"/>
      <c r="E38" s="153" t="s">
        <v>738</v>
      </c>
      <c r="F38" s="148"/>
    </row>
    <row r="39" spans="2:6" s="11" customFormat="1" ht="38.5" customHeight="1" x14ac:dyDescent="0.2">
      <c r="B39" s="84">
        <v>34</v>
      </c>
      <c r="C39" s="53" t="s">
        <v>75</v>
      </c>
      <c r="D39" s="54"/>
      <c r="E39" s="153" t="s">
        <v>739</v>
      </c>
      <c r="F39" s="148"/>
    </row>
    <row r="40" spans="2:6" s="11" customFormat="1" ht="38.5" customHeight="1" x14ac:dyDescent="0.2">
      <c r="B40" s="84">
        <v>35</v>
      </c>
      <c r="C40" s="53" t="s">
        <v>76</v>
      </c>
      <c r="D40" s="54"/>
      <c r="E40" s="153" t="s">
        <v>740</v>
      </c>
      <c r="F40" s="148"/>
    </row>
    <row r="41" spans="2:6" s="11" customFormat="1" ht="38.5" customHeight="1" x14ac:dyDescent="0.2">
      <c r="B41" s="84">
        <v>36</v>
      </c>
      <c r="C41" s="53" t="s">
        <v>77</v>
      </c>
      <c r="D41" s="54"/>
      <c r="E41" s="153" t="s">
        <v>741</v>
      </c>
      <c r="F41" s="148"/>
    </row>
    <row r="42" spans="2:6" s="11" customFormat="1" ht="38.5" customHeight="1" x14ac:dyDescent="0.2">
      <c r="B42" s="84">
        <v>37</v>
      </c>
      <c r="C42" s="53" t="s">
        <v>78</v>
      </c>
      <c r="D42" s="54"/>
      <c r="E42" s="153" t="s">
        <v>742</v>
      </c>
      <c r="F42" s="148"/>
    </row>
    <row r="43" spans="2:6" s="11" customFormat="1" ht="38.5" customHeight="1" x14ac:dyDescent="0.2">
      <c r="B43" s="84">
        <v>38</v>
      </c>
      <c r="C43" s="53" t="s">
        <v>79</v>
      </c>
      <c r="D43" s="54"/>
      <c r="E43" s="153" t="s">
        <v>747</v>
      </c>
      <c r="F43" s="148"/>
    </row>
    <row r="44" spans="2:6" s="11" customFormat="1" ht="38.5" customHeight="1" x14ac:dyDescent="0.2">
      <c r="B44" s="84">
        <v>39</v>
      </c>
      <c r="C44" s="53" t="s">
        <v>80</v>
      </c>
      <c r="D44" s="54"/>
      <c r="E44" s="153" t="s">
        <v>743</v>
      </c>
      <c r="F44" s="148"/>
    </row>
    <row r="45" spans="2:6" s="11" customFormat="1" ht="38.5" customHeight="1" x14ac:dyDescent="0.2">
      <c r="B45" s="84">
        <v>40</v>
      </c>
      <c r="C45" s="53" t="s">
        <v>81</v>
      </c>
      <c r="D45" s="54"/>
      <c r="E45" s="153" t="s">
        <v>744</v>
      </c>
      <c r="F45" s="148"/>
    </row>
    <row r="46" spans="2:6" s="11" customFormat="1" ht="38.5" customHeight="1" x14ac:dyDescent="0.2">
      <c r="B46" s="84">
        <v>41</v>
      </c>
      <c r="C46" s="53" t="s">
        <v>82</v>
      </c>
      <c r="D46" s="54"/>
      <c r="E46" s="153" t="s">
        <v>745</v>
      </c>
      <c r="F46" s="148"/>
    </row>
    <row r="47" spans="2:6" s="11" customFormat="1" ht="38.5" customHeight="1" x14ac:dyDescent="0.2">
      <c r="B47" s="84">
        <v>42</v>
      </c>
      <c r="C47" s="42" t="s">
        <v>83</v>
      </c>
      <c r="D47" s="54"/>
      <c r="E47" s="153" t="s">
        <v>746</v>
      </c>
      <c r="F47" s="148"/>
    </row>
    <row r="48" spans="2:6" s="11" customFormat="1" ht="38.5" customHeight="1" x14ac:dyDescent="0.2">
      <c r="B48" s="84">
        <v>43</v>
      </c>
      <c r="C48" s="53" t="s">
        <v>84</v>
      </c>
      <c r="D48" s="54"/>
      <c r="E48" s="153" t="s">
        <v>748</v>
      </c>
      <c r="F48" s="148"/>
    </row>
    <row r="49" spans="2:6" s="11" customFormat="1" ht="38.5" customHeight="1" x14ac:dyDescent="0.2">
      <c r="B49" s="84">
        <v>44</v>
      </c>
      <c r="C49" s="53" t="s">
        <v>85</v>
      </c>
      <c r="D49" s="54"/>
      <c r="E49" s="153" t="s">
        <v>749</v>
      </c>
      <c r="F49" s="148"/>
    </row>
    <row r="50" spans="2:6" s="11" customFormat="1" ht="38.5" customHeight="1" x14ac:dyDescent="0.2">
      <c r="B50" s="84">
        <v>45</v>
      </c>
      <c r="C50" s="53" t="s">
        <v>86</v>
      </c>
      <c r="D50" s="54"/>
      <c r="E50" s="153" t="s">
        <v>750</v>
      </c>
      <c r="F50" s="148"/>
    </row>
    <row r="51" spans="2:6" s="11" customFormat="1" ht="38.5" customHeight="1" x14ac:dyDescent="0.2">
      <c r="B51" s="84">
        <v>46</v>
      </c>
      <c r="C51" s="53" t="s">
        <v>87</v>
      </c>
      <c r="D51" s="54"/>
      <c r="E51" s="153" t="s">
        <v>751</v>
      </c>
      <c r="F51" s="148"/>
    </row>
    <row r="52" spans="2:6" s="11" customFormat="1" ht="38.5" customHeight="1" x14ac:dyDescent="0.2">
      <c r="B52" s="84">
        <v>47</v>
      </c>
      <c r="C52" s="53" t="s">
        <v>88</v>
      </c>
      <c r="D52" s="54"/>
      <c r="E52" s="153" t="s">
        <v>752</v>
      </c>
      <c r="F52" s="148"/>
    </row>
    <row r="53" spans="2:6" s="11" customFormat="1" ht="38.5" customHeight="1" x14ac:dyDescent="0.2">
      <c r="B53" s="84">
        <v>48</v>
      </c>
      <c r="C53" s="53" t="s">
        <v>89</v>
      </c>
      <c r="D53" s="54"/>
      <c r="E53" s="153" t="s">
        <v>753</v>
      </c>
      <c r="F53" s="148"/>
    </row>
    <row r="54" spans="2:6" s="11" customFormat="1" ht="38.5" customHeight="1" x14ac:dyDescent="0.2">
      <c r="B54" s="84">
        <v>49</v>
      </c>
      <c r="C54" s="53" t="s">
        <v>90</v>
      </c>
      <c r="D54" s="54"/>
      <c r="E54" s="153" t="s">
        <v>754</v>
      </c>
      <c r="F54" s="148"/>
    </row>
    <row r="55" spans="2:6" s="11" customFormat="1" ht="38.5" customHeight="1" x14ac:dyDescent="0.2">
      <c r="B55" s="84">
        <v>50</v>
      </c>
      <c r="C55" s="53" t="s">
        <v>91</v>
      </c>
      <c r="D55" s="54"/>
      <c r="E55" s="153" t="s">
        <v>755</v>
      </c>
      <c r="F55" s="148"/>
    </row>
    <row r="56" spans="2:6" s="11" customFormat="1" ht="38.5" customHeight="1" x14ac:dyDescent="0.2">
      <c r="B56" s="84">
        <v>51</v>
      </c>
      <c r="C56" s="53" t="s">
        <v>92</v>
      </c>
      <c r="D56" s="54"/>
      <c r="E56" s="153" t="s">
        <v>756</v>
      </c>
      <c r="F56" s="148"/>
    </row>
    <row r="57" spans="2:6" s="11" customFormat="1" ht="25" customHeight="1" x14ac:dyDescent="0.2">
      <c r="B57" s="129" t="s">
        <v>93</v>
      </c>
      <c r="C57" s="130"/>
      <c r="D57" s="130"/>
      <c r="E57" s="154"/>
      <c r="F57" s="151"/>
    </row>
    <row r="58" spans="2:6" s="11" customFormat="1" ht="38.5" customHeight="1" x14ac:dyDescent="0.2">
      <c r="B58" s="84">
        <v>52</v>
      </c>
      <c r="C58" s="53" t="s">
        <v>94</v>
      </c>
      <c r="D58" s="54"/>
      <c r="E58" s="153" t="s">
        <v>757</v>
      </c>
      <c r="F58" s="148"/>
    </row>
    <row r="59" spans="2:6" s="11" customFormat="1" ht="38.5" customHeight="1" x14ac:dyDescent="0.2">
      <c r="B59" s="84">
        <v>53</v>
      </c>
      <c r="C59" s="53" t="s">
        <v>95</v>
      </c>
      <c r="D59" s="54"/>
      <c r="E59" s="153" t="s">
        <v>758</v>
      </c>
      <c r="F59" s="148"/>
    </row>
    <row r="60" spans="2:6" s="11" customFormat="1" ht="38.5" customHeight="1" x14ac:dyDescent="0.2">
      <c r="B60" s="84">
        <v>54</v>
      </c>
      <c r="C60" s="53" t="s">
        <v>96</v>
      </c>
      <c r="D60" s="54"/>
      <c r="E60" s="153" t="s">
        <v>759</v>
      </c>
      <c r="F60" s="148"/>
    </row>
    <row r="61" spans="2:6" s="11" customFormat="1" ht="38.5" customHeight="1" x14ac:dyDescent="0.2">
      <c r="B61" s="84">
        <v>55</v>
      </c>
      <c r="C61" s="53" t="s">
        <v>97</v>
      </c>
      <c r="D61" s="54"/>
      <c r="E61" s="153" t="s">
        <v>760</v>
      </c>
      <c r="F61" s="148"/>
    </row>
    <row r="62" spans="2:6" s="11" customFormat="1" ht="38.5" customHeight="1" x14ac:dyDescent="0.2">
      <c r="B62" s="84">
        <v>56</v>
      </c>
      <c r="C62" s="53" t="s">
        <v>98</v>
      </c>
      <c r="D62" s="54"/>
      <c r="E62" s="153" t="s">
        <v>761</v>
      </c>
      <c r="F62" s="148"/>
    </row>
    <row r="63" spans="2:6" s="11" customFormat="1" ht="38.5" customHeight="1" x14ac:dyDescent="0.2">
      <c r="B63" s="84">
        <v>57</v>
      </c>
      <c r="C63" s="53" t="s">
        <v>99</v>
      </c>
      <c r="D63" s="54"/>
      <c r="E63" s="153" t="s">
        <v>762</v>
      </c>
      <c r="F63" s="148"/>
    </row>
    <row r="64" spans="2:6" s="11" customFormat="1" ht="38.5" customHeight="1" x14ac:dyDescent="0.2">
      <c r="B64" s="84">
        <v>58</v>
      </c>
      <c r="C64" s="53" t="s">
        <v>100</v>
      </c>
      <c r="D64" s="54"/>
      <c r="E64" s="153" t="s">
        <v>763</v>
      </c>
      <c r="F64" s="148"/>
    </row>
    <row r="65" spans="2:6" s="11" customFormat="1" ht="38.5" customHeight="1" x14ac:dyDescent="0.2">
      <c r="B65" s="84">
        <v>59</v>
      </c>
      <c r="C65" s="53" t="s">
        <v>101</v>
      </c>
      <c r="D65" s="54"/>
      <c r="E65" s="153" t="s">
        <v>764</v>
      </c>
      <c r="F65" s="148"/>
    </row>
    <row r="66" spans="2:6" s="11" customFormat="1" ht="38.5" customHeight="1" x14ac:dyDescent="0.2">
      <c r="B66" s="84">
        <v>60</v>
      </c>
      <c r="C66" s="53" t="s">
        <v>102</v>
      </c>
      <c r="D66" s="54"/>
      <c r="E66" s="153" t="s">
        <v>765</v>
      </c>
      <c r="F66" s="148"/>
    </row>
    <row r="67" spans="2:6" s="11" customFormat="1" ht="38.5" customHeight="1" x14ac:dyDescent="0.2">
      <c r="B67" s="84">
        <v>61</v>
      </c>
      <c r="C67" s="53" t="s">
        <v>103</v>
      </c>
      <c r="D67" s="54"/>
      <c r="E67" s="153" t="s">
        <v>705</v>
      </c>
      <c r="F67" s="148"/>
    </row>
    <row r="68" spans="2:6" s="11" customFormat="1" ht="38.5" customHeight="1" x14ac:dyDescent="0.2">
      <c r="B68" s="84">
        <v>62</v>
      </c>
      <c r="C68" s="53" t="s">
        <v>104</v>
      </c>
      <c r="D68" s="54"/>
      <c r="E68" s="153" t="s">
        <v>766</v>
      </c>
      <c r="F68" s="148"/>
    </row>
    <row r="69" spans="2:6" s="11" customFormat="1" ht="38.5" customHeight="1" x14ac:dyDescent="0.2">
      <c r="B69" s="84">
        <v>63</v>
      </c>
      <c r="C69" s="42" t="s">
        <v>105</v>
      </c>
      <c r="D69" s="54"/>
      <c r="E69" s="153" t="s">
        <v>767</v>
      </c>
      <c r="F69" s="148"/>
    </row>
    <row r="70" spans="2:6" s="11" customFormat="1" ht="38.5" customHeight="1" x14ac:dyDescent="0.2">
      <c r="B70" s="84">
        <v>64</v>
      </c>
      <c r="C70" s="53" t="s">
        <v>106</v>
      </c>
      <c r="D70" s="54"/>
      <c r="E70" s="153" t="s">
        <v>702</v>
      </c>
      <c r="F70" s="148"/>
    </row>
    <row r="71" spans="2:6" s="11" customFormat="1" ht="38.5" customHeight="1" x14ac:dyDescent="0.2">
      <c r="B71" s="84">
        <v>65</v>
      </c>
      <c r="C71" s="53" t="s">
        <v>107</v>
      </c>
      <c r="D71" s="54"/>
      <c r="E71" s="153" t="s">
        <v>768</v>
      </c>
      <c r="F71" s="148"/>
    </row>
    <row r="72" spans="2:6" s="11" customFormat="1" ht="38.5" customHeight="1" x14ac:dyDescent="0.2">
      <c r="B72" s="84">
        <v>66</v>
      </c>
      <c r="C72" s="53" t="s">
        <v>108</v>
      </c>
      <c r="D72" s="54"/>
      <c r="E72" s="153" t="s">
        <v>769</v>
      </c>
      <c r="F72" s="148"/>
    </row>
    <row r="73" spans="2:6" s="11" customFormat="1" ht="38.5" customHeight="1" x14ac:dyDescent="0.2">
      <c r="B73" s="84">
        <v>67</v>
      </c>
      <c r="C73" s="53" t="s">
        <v>109</v>
      </c>
      <c r="D73" s="54"/>
      <c r="E73" s="153" t="s">
        <v>770</v>
      </c>
      <c r="F73" s="148"/>
    </row>
    <row r="74" spans="2:6" s="11" customFormat="1" ht="38.5" customHeight="1" x14ac:dyDescent="0.2">
      <c r="B74" s="84">
        <v>68</v>
      </c>
      <c r="C74" s="53" t="s">
        <v>110</v>
      </c>
      <c r="D74" s="54"/>
      <c r="E74" s="153" t="s">
        <v>771</v>
      </c>
      <c r="F74" s="148"/>
    </row>
    <row r="75" spans="2:6" s="11" customFormat="1" ht="38.5" customHeight="1" x14ac:dyDescent="0.2">
      <c r="B75" s="84">
        <v>69</v>
      </c>
      <c r="C75" s="53" t="s">
        <v>111</v>
      </c>
      <c r="D75" s="54"/>
      <c r="E75" s="155"/>
      <c r="F75" s="148"/>
    </row>
    <row r="76" spans="2:6" s="11" customFormat="1" ht="38.5" customHeight="1" x14ac:dyDescent="0.2">
      <c r="B76" s="84">
        <v>70</v>
      </c>
      <c r="C76" s="53" t="s">
        <v>112</v>
      </c>
      <c r="D76" s="54"/>
      <c r="E76" s="153" t="s">
        <v>772</v>
      </c>
      <c r="F76" s="148"/>
    </row>
    <row r="77" spans="2:6" s="11" customFormat="1" ht="38.5" customHeight="1" x14ac:dyDescent="0.2">
      <c r="B77" s="84">
        <v>71</v>
      </c>
      <c r="C77" s="53" t="s">
        <v>113</v>
      </c>
      <c r="D77" s="54"/>
      <c r="E77" s="153" t="s">
        <v>773</v>
      </c>
      <c r="F77" s="148"/>
    </row>
    <row r="78" spans="2:6" s="11" customFormat="1" ht="38.5" customHeight="1" x14ac:dyDescent="0.2">
      <c r="B78" s="84">
        <v>72</v>
      </c>
      <c r="C78" s="53" t="s">
        <v>114</v>
      </c>
      <c r="D78" s="54"/>
      <c r="E78" s="153" t="s">
        <v>774</v>
      </c>
      <c r="F78" s="148"/>
    </row>
    <row r="79" spans="2:6" s="11" customFormat="1" ht="38.5" customHeight="1" x14ac:dyDescent="0.2">
      <c r="B79" s="84">
        <v>73</v>
      </c>
      <c r="C79" s="42" t="s">
        <v>115</v>
      </c>
      <c r="D79" s="54"/>
      <c r="E79" s="153" t="s">
        <v>775</v>
      </c>
      <c r="F79" s="148"/>
    </row>
    <row r="80" spans="2:6" s="11" customFormat="1" ht="38.5" customHeight="1" x14ac:dyDescent="0.2">
      <c r="B80" s="84">
        <v>74</v>
      </c>
      <c r="C80" s="53" t="s">
        <v>116</v>
      </c>
      <c r="D80" s="54"/>
      <c r="E80" s="153" t="s">
        <v>703</v>
      </c>
      <c r="F80" s="148"/>
    </row>
    <row r="81" spans="2:6" s="11" customFormat="1" ht="38.5" customHeight="1" x14ac:dyDescent="0.2">
      <c r="B81" s="84">
        <v>75</v>
      </c>
      <c r="C81" s="53" t="s">
        <v>117</v>
      </c>
      <c r="D81" s="54"/>
      <c r="E81" s="153" t="s">
        <v>776</v>
      </c>
      <c r="F81" s="148"/>
    </row>
    <row r="82" spans="2:6" s="11" customFormat="1" ht="38.5" customHeight="1" x14ac:dyDescent="0.2">
      <c r="B82" s="84">
        <v>76</v>
      </c>
      <c r="C82" s="53" t="s">
        <v>118</v>
      </c>
      <c r="D82" s="54"/>
      <c r="E82" s="153" t="s">
        <v>777</v>
      </c>
      <c r="F82" s="148"/>
    </row>
    <row r="83" spans="2:6" s="11" customFormat="1" ht="38.5" customHeight="1" x14ac:dyDescent="0.2">
      <c r="B83" s="84">
        <v>77</v>
      </c>
      <c r="C83" s="53" t="s">
        <v>119</v>
      </c>
      <c r="D83" s="54"/>
      <c r="E83" s="153" t="s">
        <v>778</v>
      </c>
      <c r="F83" s="148"/>
    </row>
    <row r="84" spans="2:6" s="11" customFormat="1" ht="38.5" customHeight="1" x14ac:dyDescent="0.2">
      <c r="B84" s="84">
        <v>78</v>
      </c>
      <c r="C84" s="53" t="s">
        <v>120</v>
      </c>
      <c r="D84" s="54"/>
      <c r="E84" s="153" t="s">
        <v>779</v>
      </c>
      <c r="F84" s="148"/>
    </row>
    <row r="85" spans="2:6" s="11" customFormat="1" ht="38.5" customHeight="1" x14ac:dyDescent="0.2">
      <c r="B85" s="84">
        <v>79</v>
      </c>
      <c r="C85" s="53" t="s">
        <v>121</v>
      </c>
      <c r="D85" s="54"/>
      <c r="E85" s="153" t="s">
        <v>780</v>
      </c>
      <c r="F85" s="148"/>
    </row>
    <row r="86" spans="2:6" s="11" customFormat="1" ht="25" customHeight="1" x14ac:dyDescent="0.2">
      <c r="B86" s="129" t="s">
        <v>122</v>
      </c>
      <c r="C86" s="130"/>
      <c r="D86" s="130"/>
      <c r="E86" s="154"/>
      <c r="F86" s="151"/>
    </row>
    <row r="87" spans="2:6" s="11" customFormat="1" ht="38.5" customHeight="1" x14ac:dyDescent="0.2">
      <c r="B87" s="84">
        <v>80</v>
      </c>
      <c r="C87" s="53" t="s">
        <v>123</v>
      </c>
      <c r="D87" s="54"/>
      <c r="E87" s="153" t="s">
        <v>781</v>
      </c>
      <c r="F87" s="148"/>
    </row>
    <row r="88" spans="2:6" s="11" customFormat="1" ht="38.5" customHeight="1" x14ac:dyDescent="0.2">
      <c r="B88" s="84">
        <v>81</v>
      </c>
      <c r="C88" s="53" t="s">
        <v>124</v>
      </c>
      <c r="D88" s="54"/>
      <c r="E88" s="153" t="s">
        <v>782</v>
      </c>
      <c r="F88" s="148"/>
    </row>
    <row r="89" spans="2:6" s="11" customFormat="1" ht="38.5" customHeight="1" x14ac:dyDescent="0.2">
      <c r="B89" s="84">
        <v>82</v>
      </c>
      <c r="C89" s="53" t="s">
        <v>125</v>
      </c>
      <c r="D89" s="54"/>
      <c r="E89" s="153" t="s">
        <v>783</v>
      </c>
      <c r="F89" s="148"/>
    </row>
    <row r="90" spans="2:6" s="11" customFormat="1" ht="38.5" customHeight="1" x14ac:dyDescent="0.2">
      <c r="B90" s="84">
        <v>83</v>
      </c>
      <c r="C90" s="53" t="s">
        <v>126</v>
      </c>
      <c r="D90" s="54"/>
      <c r="E90" s="153" t="s">
        <v>784</v>
      </c>
      <c r="F90" s="148"/>
    </row>
    <row r="91" spans="2:6" s="11" customFormat="1" ht="38.5" customHeight="1" x14ac:dyDescent="0.2">
      <c r="B91" s="84">
        <v>84</v>
      </c>
      <c r="C91" s="53" t="s">
        <v>127</v>
      </c>
      <c r="D91" s="54"/>
      <c r="E91" s="153" t="s">
        <v>785</v>
      </c>
      <c r="F91" s="148"/>
    </row>
    <row r="92" spans="2:6" s="11" customFormat="1" ht="38.5" customHeight="1" x14ac:dyDescent="0.2">
      <c r="B92" s="84">
        <v>85</v>
      </c>
      <c r="C92" s="53" t="s">
        <v>128</v>
      </c>
      <c r="D92" s="54"/>
      <c r="E92" s="153" t="s">
        <v>786</v>
      </c>
      <c r="F92" s="148"/>
    </row>
    <row r="93" spans="2:6" s="11" customFormat="1" ht="38.5" customHeight="1" x14ac:dyDescent="0.2">
      <c r="B93" s="84">
        <v>86</v>
      </c>
      <c r="C93" s="53" t="s">
        <v>129</v>
      </c>
      <c r="D93" s="54"/>
      <c r="E93" s="153" t="s">
        <v>787</v>
      </c>
      <c r="F93" s="148"/>
    </row>
    <row r="94" spans="2:6" s="11" customFormat="1" ht="38.5" customHeight="1" x14ac:dyDescent="0.2">
      <c r="B94" s="84">
        <v>87</v>
      </c>
      <c r="C94" s="53" t="s">
        <v>130</v>
      </c>
      <c r="D94" s="54"/>
      <c r="E94" s="153" t="s">
        <v>788</v>
      </c>
      <c r="F94" s="148"/>
    </row>
    <row r="95" spans="2:6" s="11" customFormat="1" ht="38.5" customHeight="1" x14ac:dyDescent="0.2">
      <c r="B95" s="84">
        <v>88</v>
      </c>
      <c r="C95" s="53" t="s">
        <v>131</v>
      </c>
      <c r="D95" s="54"/>
      <c r="E95" s="153" t="s">
        <v>789</v>
      </c>
      <c r="F95" s="148"/>
    </row>
    <row r="96" spans="2:6" s="11" customFormat="1" ht="38.5" customHeight="1" x14ac:dyDescent="0.2">
      <c r="B96" s="84">
        <v>89</v>
      </c>
      <c r="C96" s="53" t="s">
        <v>132</v>
      </c>
      <c r="D96" s="54"/>
      <c r="E96" s="153" t="s">
        <v>790</v>
      </c>
      <c r="F96" s="148"/>
    </row>
    <row r="97" spans="2:6" s="11" customFormat="1" ht="38.5" customHeight="1" x14ac:dyDescent="0.2">
      <c r="B97" s="84">
        <v>90</v>
      </c>
      <c r="C97" s="53" t="s">
        <v>133</v>
      </c>
      <c r="D97" s="54"/>
      <c r="E97" s="153" t="s">
        <v>791</v>
      </c>
      <c r="F97" s="148"/>
    </row>
    <row r="98" spans="2:6" s="11" customFormat="1" ht="38.5" customHeight="1" x14ac:dyDescent="0.2">
      <c r="B98" s="84">
        <v>91</v>
      </c>
      <c r="C98" s="53" t="s">
        <v>134</v>
      </c>
      <c r="D98" s="54"/>
      <c r="E98" s="153" t="s">
        <v>792</v>
      </c>
      <c r="F98" s="148"/>
    </row>
    <row r="99" spans="2:6" s="11" customFormat="1" ht="38.5" customHeight="1" x14ac:dyDescent="0.2">
      <c r="B99" s="84">
        <v>92</v>
      </c>
      <c r="C99" s="42" t="s">
        <v>135</v>
      </c>
      <c r="D99" s="54"/>
      <c r="E99" s="153" t="s">
        <v>793</v>
      </c>
      <c r="F99" s="148"/>
    </row>
    <row r="100" spans="2:6" s="11" customFormat="1" ht="38.5" customHeight="1" x14ac:dyDescent="0.2">
      <c r="B100" s="84">
        <v>93</v>
      </c>
      <c r="C100" s="53" t="s">
        <v>136</v>
      </c>
      <c r="D100" s="54"/>
      <c r="E100" s="153" t="s">
        <v>794</v>
      </c>
      <c r="F100" s="148"/>
    </row>
    <row r="101" spans="2:6" s="11" customFormat="1" ht="38.5" customHeight="1" x14ac:dyDescent="0.2">
      <c r="B101" s="84">
        <v>94</v>
      </c>
      <c r="C101" s="53" t="s">
        <v>137</v>
      </c>
      <c r="D101" s="54"/>
      <c r="E101" s="153" t="s">
        <v>706</v>
      </c>
      <c r="F101" s="148"/>
    </row>
    <row r="102" spans="2:6" s="11" customFormat="1" ht="38.5" customHeight="1" x14ac:dyDescent="0.2">
      <c r="B102" s="84">
        <v>95</v>
      </c>
      <c r="C102" s="42" t="s">
        <v>138</v>
      </c>
      <c r="D102" s="54"/>
      <c r="E102" s="153" t="s">
        <v>795</v>
      </c>
      <c r="F102" s="148"/>
    </row>
    <row r="103" spans="2:6" s="11" customFormat="1" ht="38.5" customHeight="1" x14ac:dyDescent="0.2">
      <c r="B103" s="84">
        <v>96</v>
      </c>
      <c r="C103" s="53" t="s">
        <v>139</v>
      </c>
      <c r="D103" s="54"/>
      <c r="E103" s="153" t="s">
        <v>796</v>
      </c>
      <c r="F103" s="148"/>
    </row>
    <row r="104" spans="2:6" s="11" customFormat="1" ht="38.5" customHeight="1" x14ac:dyDescent="0.2">
      <c r="B104" s="84">
        <v>97</v>
      </c>
      <c r="C104" s="53" t="s">
        <v>140</v>
      </c>
      <c r="D104" s="54"/>
      <c r="E104" s="153" t="s">
        <v>704</v>
      </c>
      <c r="F104" s="148"/>
    </row>
    <row r="105" spans="2:6" s="11" customFormat="1" ht="25" customHeight="1" x14ac:dyDescent="0.2">
      <c r="B105" s="129" t="s">
        <v>141</v>
      </c>
      <c r="C105" s="130"/>
      <c r="D105" s="130"/>
      <c r="E105" s="154"/>
      <c r="F105" s="151"/>
    </row>
    <row r="106" spans="2:6" s="11" customFormat="1" ht="38.5" customHeight="1" x14ac:dyDescent="0.2">
      <c r="B106" s="84">
        <v>98</v>
      </c>
      <c r="C106" s="42" t="s">
        <v>142</v>
      </c>
      <c r="D106" s="54"/>
      <c r="E106" s="153" t="s">
        <v>797</v>
      </c>
      <c r="F106" s="148"/>
    </row>
    <row r="107" spans="2:6" s="11" customFormat="1" ht="38.5" customHeight="1" x14ac:dyDescent="0.2">
      <c r="B107" s="84">
        <v>99</v>
      </c>
      <c r="C107" s="53" t="s">
        <v>143</v>
      </c>
      <c r="D107" s="54"/>
      <c r="E107" s="153" t="s">
        <v>798</v>
      </c>
      <c r="F107" s="148"/>
    </row>
    <row r="108" spans="2:6" s="11" customFormat="1" ht="38.5" customHeight="1" x14ac:dyDescent="0.2">
      <c r="B108" s="84">
        <v>100</v>
      </c>
      <c r="C108" s="53" t="s">
        <v>144</v>
      </c>
      <c r="D108" s="54"/>
      <c r="E108" s="153" t="s">
        <v>799</v>
      </c>
      <c r="F108" s="148"/>
    </row>
    <row r="109" spans="2:6" s="11" customFormat="1" ht="38.5" customHeight="1" x14ac:dyDescent="0.2">
      <c r="B109" s="84">
        <v>101</v>
      </c>
      <c r="C109" s="53" t="s">
        <v>145</v>
      </c>
      <c r="D109" s="54"/>
      <c r="E109" s="153" t="s">
        <v>800</v>
      </c>
      <c r="F109" s="148"/>
    </row>
    <row r="110" spans="2:6" s="11" customFormat="1" ht="38.5" customHeight="1" x14ac:dyDescent="0.2">
      <c r="B110" s="84">
        <v>102</v>
      </c>
      <c r="C110" s="53" t="s">
        <v>146</v>
      </c>
      <c r="D110" s="54"/>
      <c r="E110" s="153" t="s">
        <v>801</v>
      </c>
      <c r="F110" s="148"/>
    </row>
    <row r="111" spans="2:6" s="11" customFormat="1" ht="38.5" customHeight="1" x14ac:dyDescent="0.2">
      <c r="B111" s="84">
        <v>103</v>
      </c>
      <c r="C111" s="53" t="s">
        <v>147</v>
      </c>
      <c r="D111" s="54"/>
      <c r="E111" s="153" t="s">
        <v>802</v>
      </c>
      <c r="F111" s="148"/>
    </row>
    <row r="112" spans="2:6" s="11" customFormat="1" ht="38.5" customHeight="1" x14ac:dyDescent="0.2">
      <c r="B112" s="84">
        <v>104</v>
      </c>
      <c r="C112" s="53" t="s">
        <v>148</v>
      </c>
      <c r="D112" s="54"/>
      <c r="E112" s="153" t="s">
        <v>803</v>
      </c>
      <c r="F112" s="148"/>
    </row>
    <row r="113" spans="2:6" s="11" customFormat="1" ht="38.5" customHeight="1" x14ac:dyDescent="0.2">
      <c r="B113" s="84">
        <v>105</v>
      </c>
      <c r="C113" s="53" t="s">
        <v>149</v>
      </c>
      <c r="D113" s="54"/>
      <c r="E113" s="153" t="s">
        <v>804</v>
      </c>
      <c r="F113" s="148"/>
    </row>
    <row r="114" spans="2:6" s="11" customFormat="1" ht="38.5" customHeight="1" x14ac:dyDescent="0.2">
      <c r="B114" s="84">
        <v>106</v>
      </c>
      <c r="C114" s="53" t="s">
        <v>150</v>
      </c>
      <c r="D114" s="54"/>
      <c r="E114" s="153" t="s">
        <v>805</v>
      </c>
      <c r="F114" s="148"/>
    </row>
    <row r="115" spans="2:6" s="11" customFormat="1" ht="38.5" customHeight="1" x14ac:dyDescent="0.2">
      <c r="B115" s="84">
        <v>107</v>
      </c>
      <c r="C115" s="53" t="s">
        <v>151</v>
      </c>
      <c r="D115" s="54"/>
      <c r="E115" s="153" t="s">
        <v>806</v>
      </c>
      <c r="F115" s="148"/>
    </row>
    <row r="116" spans="2:6" s="11" customFormat="1" ht="38.5" customHeight="1" x14ac:dyDescent="0.2">
      <c r="B116" s="84">
        <v>108</v>
      </c>
      <c r="C116" s="53" t="s">
        <v>152</v>
      </c>
      <c r="D116" s="54"/>
      <c r="E116" s="153" t="s">
        <v>807</v>
      </c>
      <c r="F116" s="148"/>
    </row>
    <row r="117" spans="2:6" s="11" customFormat="1" ht="38.5" customHeight="1" x14ac:dyDescent="0.2">
      <c r="B117" s="84">
        <v>109</v>
      </c>
      <c r="C117" s="53" t="s">
        <v>153</v>
      </c>
      <c r="D117" s="54"/>
      <c r="E117" s="153" t="s">
        <v>808</v>
      </c>
      <c r="F117" s="148"/>
    </row>
    <row r="118" spans="2:6" s="11" customFormat="1" ht="38.5" customHeight="1" x14ac:dyDescent="0.2">
      <c r="B118" s="84">
        <v>110</v>
      </c>
      <c r="C118" s="53" t="s">
        <v>154</v>
      </c>
      <c r="D118" s="54"/>
      <c r="E118" s="153" t="s">
        <v>809</v>
      </c>
      <c r="F118" s="148"/>
    </row>
    <row r="119" spans="2:6" s="11" customFormat="1" ht="38.5" customHeight="1" x14ac:dyDescent="0.2">
      <c r="B119" s="84">
        <v>111</v>
      </c>
      <c r="C119" s="53" t="s">
        <v>155</v>
      </c>
      <c r="D119" s="54"/>
      <c r="E119" s="153" t="s">
        <v>810</v>
      </c>
      <c r="F119" s="148"/>
    </row>
    <row r="120" spans="2:6" s="11" customFormat="1" ht="38.5" customHeight="1" x14ac:dyDescent="0.2">
      <c r="B120" s="84">
        <v>112</v>
      </c>
      <c r="C120" s="42" t="s">
        <v>156</v>
      </c>
      <c r="D120" s="54"/>
      <c r="E120" s="153" t="s">
        <v>811</v>
      </c>
      <c r="F120" s="148"/>
    </row>
    <row r="121" spans="2:6" s="11" customFormat="1" ht="38.5" customHeight="1" x14ac:dyDescent="0.2">
      <c r="B121" s="84">
        <v>113</v>
      </c>
      <c r="C121" s="53" t="s">
        <v>157</v>
      </c>
      <c r="D121" s="54"/>
      <c r="E121" s="153" t="s">
        <v>812</v>
      </c>
      <c r="F121" s="148"/>
    </row>
    <row r="122" spans="2:6" s="11" customFormat="1" ht="38.5" customHeight="1" x14ac:dyDescent="0.2">
      <c r="B122" s="84">
        <v>114</v>
      </c>
      <c r="C122" s="53" t="s">
        <v>158</v>
      </c>
      <c r="D122" s="54"/>
      <c r="E122" s="153" t="s">
        <v>813</v>
      </c>
      <c r="F122" s="148"/>
    </row>
    <row r="123" spans="2:6" s="11" customFormat="1" ht="38.5" customHeight="1" x14ac:dyDescent="0.2">
      <c r="B123" s="84">
        <v>115</v>
      </c>
      <c r="C123" s="53" t="s">
        <v>159</v>
      </c>
      <c r="D123" s="54"/>
      <c r="E123" s="153" t="s">
        <v>814</v>
      </c>
      <c r="F123" s="148"/>
    </row>
    <row r="124" spans="2:6" s="11" customFormat="1" ht="38.5" customHeight="1" x14ac:dyDescent="0.2">
      <c r="B124" s="84">
        <v>116</v>
      </c>
      <c r="C124" s="53" t="s">
        <v>160</v>
      </c>
      <c r="D124" s="54"/>
      <c r="E124" s="153" t="s">
        <v>815</v>
      </c>
      <c r="F124" s="148"/>
    </row>
    <row r="125" spans="2:6" s="11" customFormat="1" ht="38.5" customHeight="1" x14ac:dyDescent="0.2">
      <c r="B125" s="84">
        <v>117</v>
      </c>
      <c r="C125" s="53" t="s">
        <v>161</v>
      </c>
      <c r="D125" s="54"/>
      <c r="E125" s="153" t="s">
        <v>816</v>
      </c>
      <c r="F125" s="148"/>
    </row>
    <row r="126" spans="2:6" s="11" customFormat="1" ht="38.5" customHeight="1" x14ac:dyDescent="0.2">
      <c r="B126" s="84">
        <v>118</v>
      </c>
      <c r="C126" s="53" t="s">
        <v>162</v>
      </c>
      <c r="D126" s="54"/>
      <c r="E126" s="153" t="s">
        <v>817</v>
      </c>
      <c r="F126" s="148"/>
    </row>
    <row r="127" spans="2:6" s="11" customFormat="1" ht="38.5" customHeight="1" x14ac:dyDescent="0.2">
      <c r="B127" s="84">
        <v>119</v>
      </c>
      <c r="C127" s="53" t="s">
        <v>163</v>
      </c>
      <c r="D127" s="54"/>
      <c r="E127" s="153" t="s">
        <v>818</v>
      </c>
      <c r="F127" s="148"/>
    </row>
    <row r="128" spans="2:6" s="11" customFormat="1" ht="38.5" customHeight="1" x14ac:dyDescent="0.2">
      <c r="B128" s="84">
        <v>120</v>
      </c>
      <c r="C128" s="53" t="s">
        <v>164</v>
      </c>
      <c r="D128" s="54"/>
      <c r="E128" s="153" t="s">
        <v>819</v>
      </c>
      <c r="F128" s="148"/>
    </row>
    <row r="129" spans="2:6" s="11" customFormat="1" ht="38.5" customHeight="1" x14ac:dyDescent="0.2">
      <c r="B129" s="84">
        <v>121</v>
      </c>
      <c r="C129" s="53" t="s">
        <v>165</v>
      </c>
      <c r="D129" s="54"/>
      <c r="E129" s="153" t="s">
        <v>820</v>
      </c>
      <c r="F129" s="148"/>
    </row>
    <row r="130" spans="2:6" s="11" customFormat="1" ht="38.5" customHeight="1" x14ac:dyDescent="0.2">
      <c r="B130" s="84">
        <v>122</v>
      </c>
      <c r="C130" s="53" t="s">
        <v>166</v>
      </c>
      <c r="D130" s="54"/>
      <c r="E130" s="153" t="s">
        <v>821</v>
      </c>
      <c r="F130" s="148"/>
    </row>
    <row r="131" spans="2:6" s="11" customFormat="1" ht="38.5" customHeight="1" x14ac:dyDescent="0.2">
      <c r="B131" s="84">
        <v>123</v>
      </c>
      <c r="C131" s="53" t="s">
        <v>167</v>
      </c>
      <c r="D131" s="54"/>
      <c r="E131" s="153" t="s">
        <v>754</v>
      </c>
      <c r="F131" s="148"/>
    </row>
    <row r="132" spans="2:6" s="11" customFormat="1" ht="38.5" customHeight="1" x14ac:dyDescent="0.2">
      <c r="B132" s="84">
        <v>124</v>
      </c>
      <c r="C132" s="53" t="s">
        <v>168</v>
      </c>
      <c r="D132" s="54"/>
      <c r="E132" s="153" t="s">
        <v>822</v>
      </c>
      <c r="F132" s="148"/>
    </row>
    <row r="133" spans="2:6" s="11" customFormat="1" ht="38.5" customHeight="1" x14ac:dyDescent="0.2">
      <c r="B133" s="84">
        <v>125</v>
      </c>
      <c r="C133" s="53" t="s">
        <v>169</v>
      </c>
      <c r="D133" s="54"/>
      <c r="E133" s="153" t="s">
        <v>823</v>
      </c>
      <c r="F133" s="148"/>
    </row>
    <row r="134" spans="2:6" s="11" customFormat="1" ht="66" customHeight="1" thickBot="1" x14ac:dyDescent="0.25">
      <c r="B134" s="85">
        <v>126</v>
      </c>
      <c r="C134" s="83" t="s">
        <v>170</v>
      </c>
      <c r="D134" s="56"/>
      <c r="E134" s="153" t="s">
        <v>824</v>
      </c>
      <c r="F134" s="148"/>
    </row>
    <row r="135" spans="2:6" s="11" customFormat="1" ht="16" customHeight="1" x14ac:dyDescent="0.2">
      <c r="B135" s="58"/>
      <c r="C135" s="69"/>
      <c r="D135" s="58"/>
    </row>
    <row r="136" spans="2:6" s="11" customFormat="1" ht="16" customHeight="1" x14ac:dyDescent="0.2">
      <c r="B136" s="58"/>
      <c r="C136" s="69"/>
      <c r="D136" s="58"/>
    </row>
    <row r="137" spans="2:6" s="11" customFormat="1" ht="16" customHeight="1" x14ac:dyDescent="0.2">
      <c r="B137" s="58"/>
      <c r="C137" s="69"/>
      <c r="D137" s="58"/>
      <c r="E137" s="58"/>
      <c r="F137" s="58"/>
    </row>
    <row r="138" spans="2:6" x14ac:dyDescent="0.15"/>
  </sheetData>
  <dataConsolidate/>
  <mergeCells count="6">
    <mergeCell ref="B3:E3"/>
    <mergeCell ref="B86:D86"/>
    <mergeCell ref="B105:D105"/>
    <mergeCell ref="B18:D18"/>
    <mergeCell ref="B32:D32"/>
    <mergeCell ref="B57:D57"/>
  </mergeCells>
  <conditionalFormatting sqref="D137:F137 D58:D85 D87:D104 D106:D136 D4:D17 D19:D31 D33:D56">
    <cfRule type="cellIs" dxfId="360" priority="361" operator="equal">
      <formula>"RISK NOTED"</formula>
    </cfRule>
    <cfRule type="cellIs" dxfId="359" priority="362" operator="equal">
      <formula>"FAIL"</formula>
    </cfRule>
    <cfRule type="cellIs" dxfId="358" priority="363" operator="equal">
      <formula>"PASS"</formula>
    </cfRule>
  </conditionalFormatting>
  <conditionalFormatting sqref="D4:D17 D19:D31">
    <cfRule type="containsText" dxfId="357" priority="360" operator="containsText" text="Not Applicable">
      <formula>NOT(ISERROR(SEARCH("Not Applicable",D4)))</formula>
    </cfRule>
  </conditionalFormatting>
  <conditionalFormatting sqref="D33:D56">
    <cfRule type="containsText" dxfId="356" priority="358" operator="containsText" text="Not Applicable">
      <formula>NOT(ISERROR(SEARCH("Not Applicable",D33)))</formula>
    </cfRule>
  </conditionalFormatting>
  <conditionalFormatting sqref="D58:D85">
    <cfRule type="containsText" dxfId="355" priority="357" operator="containsText" text="Not Applicable">
      <formula>NOT(ISERROR(SEARCH("Not Applicable",D58)))</formula>
    </cfRule>
  </conditionalFormatting>
  <conditionalFormatting sqref="D87:D104">
    <cfRule type="containsText" dxfId="354" priority="356" operator="containsText" text="Not Applicable">
      <formula>NOT(ISERROR(SEARCH("Not Applicable",D87)))</formula>
    </cfRule>
  </conditionalFormatting>
  <conditionalFormatting sqref="D137:F137 D106:D136">
    <cfRule type="containsText" dxfId="353" priority="355" operator="containsText" text="Not Applicable">
      <formula>NOT(ISERROR(SEARCH("Not Applicable",D106)))</formula>
    </cfRule>
  </conditionalFormatting>
  <conditionalFormatting sqref="D33:D56">
    <cfRule type="containsText" dxfId="352" priority="353" operator="containsText" text="Not Applicable">
      <formula>NOT(ISERROR(SEARCH("Not Applicable",D33)))</formula>
    </cfRule>
  </conditionalFormatting>
  <conditionalFormatting sqref="D58:D85">
    <cfRule type="containsText" dxfId="351" priority="352" operator="containsText" text="Not Applicable">
      <formula>NOT(ISERROR(SEARCH("Not Applicable",D58)))</formula>
    </cfRule>
  </conditionalFormatting>
  <conditionalFormatting sqref="D87:D104">
    <cfRule type="containsText" dxfId="350" priority="351" operator="containsText" text="Not Applicable">
      <formula>NOT(ISERROR(SEARCH("Not Applicable",D87)))</formula>
    </cfRule>
  </conditionalFormatting>
  <conditionalFormatting sqref="D106:D133">
    <cfRule type="containsText" dxfId="349" priority="350" operator="containsText" text="Not Applicable">
      <formula>NOT(ISERROR(SEARCH("Not Applicable",D106)))</formula>
    </cfRule>
  </conditionalFormatting>
  <conditionalFormatting sqref="D106:D133">
    <cfRule type="containsText" dxfId="348" priority="349" operator="containsText" text="Not Applicable">
      <formula>NOT(ISERROR(SEARCH("Not Applicable",D106)))</formula>
    </cfRule>
  </conditionalFormatting>
  <conditionalFormatting sqref="D106:D133">
    <cfRule type="containsText" dxfId="347" priority="348" operator="containsText" text="Not Applicable">
      <formula>NOT(ISERROR(SEARCH("Not Applicable",D106)))</formula>
    </cfRule>
  </conditionalFormatting>
  <conditionalFormatting sqref="D4:D17">
    <cfRule type="containsText" dxfId="346" priority="347" operator="containsText" text="Not Applicable">
      <formula>NOT(ISERROR(SEARCH("Not Applicable",D4)))</formula>
    </cfRule>
  </conditionalFormatting>
  <conditionalFormatting sqref="D4:D17">
    <cfRule type="containsText" dxfId="345" priority="346" operator="containsText" text="Not Applicable">
      <formula>NOT(ISERROR(SEARCH("Not Applicable",D4)))</formula>
    </cfRule>
  </conditionalFormatting>
  <conditionalFormatting sqref="D137:F137 D106:D136">
    <cfRule type="containsText" dxfId="344" priority="345" operator="containsText" text="Not Applicable">
      <formula>NOT(ISERROR(SEARCH("Not Applicable",D106)))</formula>
    </cfRule>
  </conditionalFormatting>
  <conditionalFormatting sqref="D137:F137 D106:D136">
    <cfRule type="containsText" dxfId="343" priority="344" operator="containsText" text="Not Applicable">
      <formula>NOT(ISERROR(SEARCH("Not Applicable",D106)))</formula>
    </cfRule>
  </conditionalFormatting>
  <conditionalFormatting sqref="D137:F137 D106:D136">
    <cfRule type="containsText" dxfId="342" priority="343" operator="containsText" text="Not Applicable">
      <formula>NOT(ISERROR(SEARCH("Not Applicable",D106)))</formula>
    </cfRule>
  </conditionalFormatting>
  <conditionalFormatting sqref="D137:F137 D106:D136">
    <cfRule type="containsText" dxfId="341" priority="342" operator="containsText" text="Not Applicable">
      <formula>NOT(ISERROR(SEARCH("Not Applicable",D106)))</formula>
    </cfRule>
  </conditionalFormatting>
  <conditionalFormatting sqref="D119:D133">
    <cfRule type="containsText" dxfId="340" priority="341" operator="containsText" text="Not Applicable">
      <formula>NOT(ISERROR(SEARCH("Not Applicable",D119)))</formula>
    </cfRule>
  </conditionalFormatting>
  <conditionalFormatting sqref="D119:D133">
    <cfRule type="containsText" dxfId="339" priority="340" operator="containsText" text="Not Applicable">
      <formula>NOT(ISERROR(SEARCH("Not Applicable",D119)))</formula>
    </cfRule>
  </conditionalFormatting>
  <conditionalFormatting sqref="D119:D133">
    <cfRule type="containsText" dxfId="338" priority="339" operator="containsText" text="Not Applicable">
      <formula>NOT(ISERROR(SEARCH("Not Applicable",D119)))</formula>
    </cfRule>
  </conditionalFormatting>
  <conditionalFormatting sqref="D19:D27">
    <cfRule type="containsText" dxfId="337" priority="338" operator="containsText" text="Not Applicable">
      <formula>NOT(ISERROR(SEARCH("Not Applicable",D19)))</formula>
    </cfRule>
  </conditionalFormatting>
  <conditionalFormatting sqref="D19:D27">
    <cfRule type="containsText" dxfId="336" priority="337" operator="containsText" text="Not Applicable">
      <formula>NOT(ISERROR(SEARCH("Not Applicable",D19)))</formula>
    </cfRule>
  </conditionalFormatting>
  <conditionalFormatting sqref="D19:D27">
    <cfRule type="containsText" dxfId="335" priority="336" operator="containsText" text="Not Applicable">
      <formula>NOT(ISERROR(SEARCH("Not Applicable",D19)))</formula>
    </cfRule>
  </conditionalFormatting>
  <conditionalFormatting sqref="D40:D56">
    <cfRule type="containsText" dxfId="334" priority="335" operator="containsText" text="Not Applicable">
      <formula>NOT(ISERROR(SEARCH("Not Applicable",D40)))</formula>
    </cfRule>
  </conditionalFormatting>
  <conditionalFormatting sqref="D40:D56">
    <cfRule type="containsText" dxfId="333" priority="334" operator="containsText" text="Not Applicable">
      <formula>NOT(ISERROR(SEARCH("Not Applicable",D40)))</formula>
    </cfRule>
  </conditionalFormatting>
  <conditionalFormatting sqref="D40:D56">
    <cfRule type="containsText" dxfId="332" priority="333" operator="containsText" text="Not Applicable">
      <formula>NOT(ISERROR(SEARCH("Not Applicable",D40)))</formula>
    </cfRule>
  </conditionalFormatting>
  <conditionalFormatting sqref="D71:D80">
    <cfRule type="containsText" dxfId="331" priority="332" operator="containsText" text="Not Applicable">
      <formula>NOT(ISERROR(SEARCH("Not Applicable",D71)))</formula>
    </cfRule>
  </conditionalFormatting>
  <conditionalFormatting sqref="D71:D80">
    <cfRule type="containsText" dxfId="330" priority="331" operator="containsText" text="Not Applicable">
      <formula>NOT(ISERROR(SEARCH("Not Applicable",D71)))</formula>
    </cfRule>
  </conditionalFormatting>
  <conditionalFormatting sqref="D71:D80">
    <cfRule type="containsText" dxfId="329" priority="330" operator="containsText" text="Not Applicable">
      <formula>NOT(ISERROR(SEARCH("Not Applicable",D71)))</formula>
    </cfRule>
  </conditionalFormatting>
  <conditionalFormatting sqref="D92:D98">
    <cfRule type="containsText" dxfId="328" priority="329" operator="containsText" text="Not Applicable">
      <formula>NOT(ISERROR(SEARCH("Not Applicable",D92)))</formula>
    </cfRule>
  </conditionalFormatting>
  <conditionalFormatting sqref="D92:D98">
    <cfRule type="containsText" dxfId="327" priority="328" operator="containsText" text="Not Applicable">
      <formula>NOT(ISERROR(SEARCH("Not Applicable",D92)))</formula>
    </cfRule>
  </conditionalFormatting>
  <conditionalFormatting sqref="D92:D98">
    <cfRule type="containsText" dxfId="326" priority="327" operator="containsText" text="Not Applicable">
      <formula>NOT(ISERROR(SEARCH("Not Applicable",D92)))</formula>
    </cfRule>
  </conditionalFormatting>
  <conditionalFormatting sqref="D126:D133">
    <cfRule type="containsText" dxfId="325" priority="326" operator="containsText" text="Not Applicable">
      <formula>NOT(ISERROR(SEARCH("Not Applicable",D126)))</formula>
    </cfRule>
  </conditionalFormatting>
  <conditionalFormatting sqref="D126:D133">
    <cfRule type="containsText" dxfId="324" priority="325" operator="containsText" text="Not Applicable">
      <formula>NOT(ISERROR(SEARCH("Not Applicable",D126)))</formula>
    </cfRule>
  </conditionalFormatting>
  <conditionalFormatting sqref="D126:D133">
    <cfRule type="containsText" dxfId="323" priority="324" operator="containsText" text="Not Applicable">
      <formula>NOT(ISERROR(SEARCH("Not Applicable",D126)))</formula>
    </cfRule>
  </conditionalFormatting>
  <conditionalFormatting sqref="D87:D104">
    <cfRule type="containsText" dxfId="322" priority="323" operator="containsText" text="Not Applicable">
      <formula>NOT(ISERROR(SEARCH("Not Applicable",D87)))</formula>
    </cfRule>
  </conditionalFormatting>
  <conditionalFormatting sqref="D87:D104">
    <cfRule type="containsText" dxfId="321" priority="322" operator="containsText" text="Not Applicable">
      <formula>NOT(ISERROR(SEARCH("Not Applicable",D87)))</formula>
    </cfRule>
  </conditionalFormatting>
  <conditionalFormatting sqref="D107:D116">
    <cfRule type="containsText" dxfId="320" priority="321" operator="containsText" text="Not Applicable">
      <formula>NOT(ISERROR(SEARCH("Not Applicable",D107)))</formula>
    </cfRule>
  </conditionalFormatting>
  <conditionalFormatting sqref="D107:D116">
    <cfRule type="containsText" dxfId="319" priority="320" operator="containsText" text="Not Applicable">
      <formula>NOT(ISERROR(SEARCH("Not Applicable",D107)))</formula>
    </cfRule>
  </conditionalFormatting>
  <conditionalFormatting sqref="D19:D25">
    <cfRule type="containsText" dxfId="318" priority="319" operator="containsText" text="Not Applicable">
      <formula>NOT(ISERROR(SEARCH("Not Applicable",D19)))</formula>
    </cfRule>
  </conditionalFormatting>
  <conditionalFormatting sqref="D19:D25">
    <cfRule type="containsText" dxfId="317" priority="318" operator="containsText" text="Not Applicable">
      <formula>NOT(ISERROR(SEARCH("Not Applicable",D19)))</formula>
    </cfRule>
  </conditionalFormatting>
  <conditionalFormatting sqref="D19:D25">
    <cfRule type="containsText" dxfId="316" priority="317" operator="containsText" text="Not Applicable">
      <formula>NOT(ISERROR(SEARCH("Not Applicable",D19)))</formula>
    </cfRule>
  </conditionalFormatting>
  <conditionalFormatting sqref="D33:D39">
    <cfRule type="containsText" dxfId="315" priority="316" operator="containsText" text="Not Applicable">
      <formula>NOT(ISERROR(SEARCH("Not Applicable",D33)))</formula>
    </cfRule>
  </conditionalFormatting>
  <conditionalFormatting sqref="D33:D39">
    <cfRule type="containsText" dxfId="314" priority="315" operator="containsText" text="Not Applicable">
      <formula>NOT(ISERROR(SEARCH("Not Applicable",D33)))</formula>
    </cfRule>
  </conditionalFormatting>
  <conditionalFormatting sqref="D33:D39">
    <cfRule type="containsText" dxfId="313" priority="314" operator="containsText" text="Not Applicable">
      <formula>NOT(ISERROR(SEARCH("Not Applicable",D33)))</formula>
    </cfRule>
  </conditionalFormatting>
  <conditionalFormatting sqref="D64:D70">
    <cfRule type="containsText" dxfId="312" priority="313" operator="containsText" text="Not Applicable">
      <formula>NOT(ISERROR(SEARCH("Not Applicable",D64)))</formula>
    </cfRule>
  </conditionalFormatting>
  <conditionalFormatting sqref="D64:D70">
    <cfRule type="containsText" dxfId="311" priority="312" operator="containsText" text="Not Applicable">
      <formula>NOT(ISERROR(SEARCH("Not Applicable",D64)))</formula>
    </cfRule>
  </conditionalFormatting>
  <conditionalFormatting sqref="D64:D70">
    <cfRule type="containsText" dxfId="310" priority="311" operator="containsText" text="Not Applicable">
      <formula>NOT(ISERROR(SEARCH("Not Applicable",D64)))</formula>
    </cfRule>
  </conditionalFormatting>
  <conditionalFormatting sqref="D90:D98">
    <cfRule type="containsText" dxfId="309" priority="310" operator="containsText" text="Not Applicable">
      <formula>NOT(ISERROR(SEARCH("Not Applicable",D90)))</formula>
    </cfRule>
  </conditionalFormatting>
  <conditionalFormatting sqref="D90:D98">
    <cfRule type="containsText" dxfId="308" priority="309" operator="containsText" text="Not Applicable">
      <formula>NOT(ISERROR(SEARCH("Not Applicable",D90)))</formula>
    </cfRule>
  </conditionalFormatting>
  <conditionalFormatting sqref="D90:D98">
    <cfRule type="containsText" dxfId="307" priority="308" operator="containsText" text="Not Applicable">
      <formula>NOT(ISERROR(SEARCH("Not Applicable",D90)))</formula>
    </cfRule>
  </conditionalFormatting>
  <conditionalFormatting sqref="D123:D129">
    <cfRule type="containsText" dxfId="306" priority="307" operator="containsText" text="Not Applicable">
      <formula>NOT(ISERROR(SEARCH("Not Applicable",D123)))</formula>
    </cfRule>
  </conditionalFormatting>
  <conditionalFormatting sqref="D123:D129">
    <cfRule type="containsText" dxfId="305" priority="306" operator="containsText" text="Not Applicable">
      <formula>NOT(ISERROR(SEARCH("Not Applicable",D123)))</formula>
    </cfRule>
  </conditionalFormatting>
  <conditionalFormatting sqref="D123:D129">
    <cfRule type="containsText" dxfId="304" priority="305" operator="containsText" text="Not Applicable">
      <formula>NOT(ISERROR(SEARCH("Not Applicable",D123)))</formula>
    </cfRule>
  </conditionalFormatting>
  <conditionalFormatting sqref="D22">
    <cfRule type="containsText" dxfId="303" priority="304" operator="containsText" text="Not Applicable">
      <formula>NOT(ISERROR(SEARCH("Not Applicable",D22)))</formula>
    </cfRule>
  </conditionalFormatting>
  <conditionalFormatting sqref="D22">
    <cfRule type="containsText" dxfId="302" priority="303" operator="containsText" text="Not Applicable">
      <formula>NOT(ISERROR(SEARCH("Not Applicable",D22)))</formula>
    </cfRule>
  </conditionalFormatting>
  <conditionalFormatting sqref="D22">
    <cfRule type="containsText" dxfId="301" priority="302" operator="containsText" text="Not Applicable">
      <formula>NOT(ISERROR(SEARCH("Not Applicable",D22)))</formula>
    </cfRule>
  </conditionalFormatting>
  <conditionalFormatting sqref="D4:D17">
    <cfRule type="containsText" dxfId="300" priority="301" operator="containsText" text="Not Applicable">
      <formula>NOT(ISERROR(SEARCH("Not Applicable",D4)))</formula>
    </cfRule>
  </conditionalFormatting>
  <conditionalFormatting sqref="D4:D17">
    <cfRule type="containsText" dxfId="299" priority="300" operator="containsText" text="Not Applicable">
      <formula>NOT(ISERROR(SEARCH("Not Applicable",D4)))</formula>
    </cfRule>
  </conditionalFormatting>
  <conditionalFormatting sqref="D4:D17">
    <cfRule type="containsText" dxfId="298" priority="299" operator="containsText" text="Not Applicable">
      <formula>NOT(ISERROR(SEARCH("Not Applicable",D4)))</formula>
    </cfRule>
  </conditionalFormatting>
  <conditionalFormatting sqref="D4:D17">
    <cfRule type="containsText" dxfId="297" priority="298" operator="containsText" text="Not Applicable">
      <formula>NOT(ISERROR(SEARCH("Not Applicable",D4)))</formula>
    </cfRule>
  </conditionalFormatting>
  <conditionalFormatting sqref="D4:D17">
    <cfRule type="containsText" dxfId="296" priority="297" operator="containsText" text="Not Applicable">
      <formula>NOT(ISERROR(SEARCH("Not Applicable",D4)))</formula>
    </cfRule>
  </conditionalFormatting>
  <conditionalFormatting sqref="D4:D17">
    <cfRule type="containsText" dxfId="295" priority="296" operator="containsText" text="Not Applicable">
      <formula>NOT(ISERROR(SEARCH("Not Applicable",D4)))</formula>
    </cfRule>
  </conditionalFormatting>
  <conditionalFormatting sqref="D4:D17">
    <cfRule type="containsText" dxfId="294" priority="295" operator="containsText" text="Not Applicable">
      <formula>NOT(ISERROR(SEARCH("Not Applicable",D4)))</formula>
    </cfRule>
  </conditionalFormatting>
  <conditionalFormatting sqref="D4:D17">
    <cfRule type="containsText" dxfId="293" priority="294" operator="containsText" text="Not Applicable">
      <formula>NOT(ISERROR(SEARCH("Not Applicable",D4)))</formula>
    </cfRule>
  </conditionalFormatting>
  <conditionalFormatting sqref="D87:D104 D106:D134 D58:D85 D33:D56">
    <cfRule type="containsText" dxfId="292" priority="291" operator="containsText" text="Not Applicable">
      <formula>NOT(ISERROR(SEARCH("Not Applicable",D33)))</formula>
    </cfRule>
  </conditionalFormatting>
  <conditionalFormatting sqref="D87:D104 D106:D134 D58:D85 D33:D56">
    <cfRule type="containsText" dxfId="291" priority="290" operator="containsText" text="Not Applicable">
      <formula>NOT(ISERROR(SEARCH("Not Applicable",D33)))</formula>
    </cfRule>
  </conditionalFormatting>
  <conditionalFormatting sqref="D87:D104 D106:D134 D58:D85 D33:D56">
    <cfRule type="containsText" dxfId="290" priority="289" operator="containsText" text="Not Applicable">
      <formula>NOT(ISERROR(SEARCH("Not Applicable",D33)))</formula>
    </cfRule>
  </conditionalFormatting>
  <conditionalFormatting sqref="D87:D104 D106:D134 D58:D85 D33:D56">
    <cfRule type="containsText" dxfId="289" priority="288" operator="containsText" text="Not Applicable">
      <formula>NOT(ISERROR(SEARCH("Not Applicable",D33)))</formula>
    </cfRule>
  </conditionalFormatting>
  <conditionalFormatting sqref="D87:D104 D106:D134 D58:D85 D33:D56">
    <cfRule type="containsText" dxfId="288" priority="287" operator="containsText" text="Not Applicable">
      <formula>NOT(ISERROR(SEARCH("Not Applicable",D33)))</formula>
    </cfRule>
  </conditionalFormatting>
  <conditionalFormatting sqref="D87:D104 D106:D134 D58:D85 D33:D56">
    <cfRule type="containsText" dxfId="287" priority="286" operator="containsText" text="Not Applicable">
      <formula>NOT(ISERROR(SEARCH("Not Applicable",D33)))</formula>
    </cfRule>
  </conditionalFormatting>
  <conditionalFormatting sqref="D87:D104 D106:D134 D58:D85 D33:D56">
    <cfRule type="containsText" dxfId="286" priority="285" operator="containsText" text="Not Applicable">
      <formula>NOT(ISERROR(SEARCH("Not Applicable",D33)))</formula>
    </cfRule>
  </conditionalFormatting>
  <conditionalFormatting sqref="D87:D104 D106:D134 D58:D85 D33:D56">
    <cfRule type="containsText" dxfId="285" priority="284" operator="containsText" text="Not Applicable">
      <formula>NOT(ISERROR(SEARCH("Not Applicable",D33)))</formula>
    </cfRule>
  </conditionalFormatting>
  <conditionalFormatting sqref="D87:D104 D106:D134 D58:D85 D33:D56">
    <cfRule type="containsText" dxfId="284" priority="283" operator="containsText" text="Not Applicable">
      <formula>NOT(ISERROR(SEARCH("Not Applicable",D33)))</formula>
    </cfRule>
  </conditionalFormatting>
  <conditionalFormatting sqref="D87:D104 D106:D134 D58:D85 D33:D56">
    <cfRule type="containsText" dxfId="283" priority="282" operator="containsText" text="Not Applicable">
      <formula>NOT(ISERROR(SEARCH("Not Applicable",D33)))</formula>
    </cfRule>
  </conditionalFormatting>
  <conditionalFormatting sqref="D87:D104 D106:D134 D58:D85 D33:D56">
    <cfRule type="containsText" dxfId="282" priority="281" operator="containsText" text="Not Applicable">
      <formula>NOT(ISERROR(SEARCH("Not Applicable",D33)))</formula>
    </cfRule>
  </conditionalFormatting>
  <conditionalFormatting sqref="D33:D56">
    <cfRule type="containsText" dxfId="281" priority="269" operator="containsText" text="Not Applicable">
      <formula>NOT(ISERROR(SEARCH("Not Applicable",D33)))</formula>
    </cfRule>
  </conditionalFormatting>
  <conditionalFormatting sqref="D33:D56">
    <cfRule type="containsText" dxfId="280" priority="268" operator="containsText" text="Not Applicable">
      <formula>NOT(ISERROR(SEARCH("Not Applicable",D33)))</formula>
    </cfRule>
  </conditionalFormatting>
  <conditionalFormatting sqref="D33:D56">
    <cfRule type="containsText" dxfId="279" priority="267" operator="containsText" text="Not Applicable">
      <formula>NOT(ISERROR(SEARCH("Not Applicable",D33)))</formula>
    </cfRule>
  </conditionalFormatting>
  <conditionalFormatting sqref="D33:D56">
    <cfRule type="containsText" dxfId="278" priority="266" operator="containsText" text="Not Applicable">
      <formula>NOT(ISERROR(SEARCH("Not Applicable",D33)))</formula>
    </cfRule>
  </conditionalFormatting>
  <conditionalFormatting sqref="D33:D56">
    <cfRule type="containsText" dxfId="277" priority="265" operator="containsText" text="Not Applicable">
      <formula>NOT(ISERROR(SEARCH("Not Applicable",D33)))</formula>
    </cfRule>
  </conditionalFormatting>
  <conditionalFormatting sqref="D33:D56">
    <cfRule type="containsText" dxfId="276" priority="264" operator="containsText" text="Not Applicable">
      <formula>NOT(ISERROR(SEARCH("Not Applicable",D33)))</formula>
    </cfRule>
  </conditionalFormatting>
  <conditionalFormatting sqref="D33:D56">
    <cfRule type="containsText" dxfId="275" priority="263" operator="containsText" text="Not Applicable">
      <formula>NOT(ISERROR(SEARCH("Not Applicable",D33)))</formula>
    </cfRule>
  </conditionalFormatting>
  <conditionalFormatting sqref="D33:D56">
    <cfRule type="containsText" dxfId="274" priority="262" operator="containsText" text="Not Applicable">
      <formula>NOT(ISERROR(SEARCH("Not Applicable",D33)))</formula>
    </cfRule>
  </conditionalFormatting>
  <conditionalFormatting sqref="D33:D56">
    <cfRule type="containsText" dxfId="273" priority="261" operator="containsText" text="Not Applicable">
      <formula>NOT(ISERROR(SEARCH("Not Applicable",D33)))</formula>
    </cfRule>
  </conditionalFormatting>
  <conditionalFormatting sqref="D33:D56">
    <cfRule type="containsText" dxfId="272" priority="260" operator="containsText" text="Not Applicable">
      <formula>NOT(ISERROR(SEARCH("Not Applicable",D33)))</formula>
    </cfRule>
  </conditionalFormatting>
  <conditionalFormatting sqref="D33:D56">
    <cfRule type="containsText" dxfId="271" priority="259" operator="containsText" text="Not Applicable">
      <formula>NOT(ISERROR(SEARCH("Not Applicable",D33)))</formula>
    </cfRule>
  </conditionalFormatting>
  <conditionalFormatting sqref="D33:D56">
    <cfRule type="containsText" dxfId="270" priority="258" operator="containsText" text="Not Applicable">
      <formula>NOT(ISERROR(SEARCH("Not Applicable",D33)))</formula>
    </cfRule>
  </conditionalFormatting>
  <conditionalFormatting sqref="D33:D56">
    <cfRule type="containsText" dxfId="269" priority="257" operator="containsText" text="Not Applicable">
      <formula>NOT(ISERROR(SEARCH("Not Applicable",D33)))</formula>
    </cfRule>
  </conditionalFormatting>
  <conditionalFormatting sqref="D58:D61">
    <cfRule type="containsText" dxfId="268" priority="256" operator="containsText" text="Not Applicable">
      <formula>NOT(ISERROR(SEARCH("Not Applicable",D58)))</formula>
    </cfRule>
  </conditionalFormatting>
  <conditionalFormatting sqref="D58:D61">
    <cfRule type="containsText" dxfId="267" priority="255" operator="containsText" text="Not Applicable">
      <formula>NOT(ISERROR(SEARCH("Not Applicable",D58)))</formula>
    </cfRule>
  </conditionalFormatting>
  <conditionalFormatting sqref="D58:D61">
    <cfRule type="containsText" dxfId="266" priority="254" operator="containsText" text="Not Applicable">
      <formula>NOT(ISERROR(SEARCH("Not Applicable",D58)))</formula>
    </cfRule>
  </conditionalFormatting>
  <conditionalFormatting sqref="D58:D61">
    <cfRule type="containsText" dxfId="265" priority="253" operator="containsText" text="Not Applicable">
      <formula>NOT(ISERROR(SEARCH("Not Applicable",D58)))</formula>
    </cfRule>
  </conditionalFormatting>
  <conditionalFormatting sqref="D58:D61">
    <cfRule type="containsText" dxfId="264" priority="252" operator="containsText" text="Not Applicable">
      <formula>NOT(ISERROR(SEARCH("Not Applicable",D58)))</formula>
    </cfRule>
  </conditionalFormatting>
  <conditionalFormatting sqref="D58:D61">
    <cfRule type="containsText" dxfId="263" priority="251" operator="containsText" text="Not Applicable">
      <formula>NOT(ISERROR(SEARCH("Not Applicable",D58)))</formula>
    </cfRule>
  </conditionalFormatting>
  <conditionalFormatting sqref="D58:D61">
    <cfRule type="containsText" dxfId="262" priority="250" operator="containsText" text="Not Applicable">
      <formula>NOT(ISERROR(SEARCH("Not Applicable",D58)))</formula>
    </cfRule>
  </conditionalFormatting>
  <conditionalFormatting sqref="D58:D61">
    <cfRule type="containsText" dxfId="261" priority="249" operator="containsText" text="Not Applicable">
      <formula>NOT(ISERROR(SEARCH("Not Applicable",D58)))</formula>
    </cfRule>
  </conditionalFormatting>
  <conditionalFormatting sqref="D58:D61">
    <cfRule type="containsText" dxfId="260" priority="248" operator="containsText" text="Not Applicable">
      <formula>NOT(ISERROR(SEARCH("Not Applicable",D58)))</formula>
    </cfRule>
  </conditionalFormatting>
  <conditionalFormatting sqref="D58:D61">
    <cfRule type="containsText" dxfId="259" priority="247" operator="containsText" text="Not Applicable">
      <formula>NOT(ISERROR(SEARCH("Not Applicable",D58)))</formula>
    </cfRule>
  </conditionalFormatting>
  <conditionalFormatting sqref="D58:D61">
    <cfRule type="containsText" dxfId="258" priority="246" operator="containsText" text="Not Applicable">
      <formula>NOT(ISERROR(SEARCH("Not Applicable",D58)))</formula>
    </cfRule>
  </conditionalFormatting>
  <conditionalFormatting sqref="D58:D61">
    <cfRule type="containsText" dxfId="257" priority="245" operator="containsText" text="Not Applicable">
      <formula>NOT(ISERROR(SEARCH("Not Applicable",D58)))</formula>
    </cfRule>
  </conditionalFormatting>
  <conditionalFormatting sqref="D58:D61">
    <cfRule type="containsText" dxfId="256" priority="244" operator="containsText" text="Not Applicable">
      <formula>NOT(ISERROR(SEARCH("Not Applicable",D58)))</formula>
    </cfRule>
  </conditionalFormatting>
  <conditionalFormatting sqref="D58:D61">
    <cfRule type="containsText" dxfId="255" priority="243" operator="containsText" text="Not Applicable">
      <formula>NOT(ISERROR(SEARCH("Not Applicable",D58)))</formula>
    </cfRule>
  </conditionalFormatting>
  <conditionalFormatting sqref="D58:D61">
    <cfRule type="containsText" dxfId="254" priority="242" operator="containsText" text="Not Applicable">
      <formula>NOT(ISERROR(SEARCH("Not Applicable",D58)))</formula>
    </cfRule>
  </conditionalFormatting>
  <conditionalFormatting sqref="D63:D85">
    <cfRule type="containsText" dxfId="253" priority="241" operator="containsText" text="Not Applicable">
      <formula>NOT(ISERROR(SEARCH("Not Applicable",D63)))</formula>
    </cfRule>
  </conditionalFormatting>
  <conditionalFormatting sqref="D63:D85">
    <cfRule type="containsText" dxfId="252" priority="240" operator="containsText" text="Not Applicable">
      <formula>NOT(ISERROR(SEARCH("Not Applicable",D63)))</formula>
    </cfRule>
  </conditionalFormatting>
  <conditionalFormatting sqref="D63:D85">
    <cfRule type="containsText" dxfId="251" priority="239" operator="containsText" text="Not Applicable">
      <formula>NOT(ISERROR(SEARCH("Not Applicable",D63)))</formula>
    </cfRule>
  </conditionalFormatting>
  <conditionalFormatting sqref="D63:D85">
    <cfRule type="containsText" dxfId="250" priority="238" operator="containsText" text="Not Applicable">
      <formula>NOT(ISERROR(SEARCH("Not Applicable",D63)))</formula>
    </cfRule>
  </conditionalFormatting>
  <conditionalFormatting sqref="D63:D85">
    <cfRule type="containsText" dxfId="249" priority="237" operator="containsText" text="Not Applicable">
      <formula>NOT(ISERROR(SEARCH("Not Applicable",D63)))</formula>
    </cfRule>
  </conditionalFormatting>
  <conditionalFormatting sqref="D63:D85">
    <cfRule type="containsText" dxfId="248" priority="236" operator="containsText" text="Not Applicable">
      <formula>NOT(ISERROR(SEARCH("Not Applicable",D63)))</formula>
    </cfRule>
  </conditionalFormatting>
  <conditionalFormatting sqref="D63:D85">
    <cfRule type="containsText" dxfId="247" priority="235" operator="containsText" text="Not Applicable">
      <formula>NOT(ISERROR(SEARCH("Not Applicable",D63)))</formula>
    </cfRule>
  </conditionalFormatting>
  <conditionalFormatting sqref="D63:D85">
    <cfRule type="containsText" dxfId="246" priority="234" operator="containsText" text="Not Applicable">
      <formula>NOT(ISERROR(SEARCH("Not Applicable",D63)))</formula>
    </cfRule>
  </conditionalFormatting>
  <conditionalFormatting sqref="D63:D85">
    <cfRule type="containsText" dxfId="245" priority="233" operator="containsText" text="Not Applicable">
      <formula>NOT(ISERROR(SEARCH("Not Applicable",D63)))</formula>
    </cfRule>
  </conditionalFormatting>
  <conditionalFormatting sqref="D63:D85">
    <cfRule type="containsText" dxfId="244" priority="232" operator="containsText" text="Not Applicable">
      <formula>NOT(ISERROR(SEARCH("Not Applicable",D63)))</formula>
    </cfRule>
  </conditionalFormatting>
  <conditionalFormatting sqref="D63:D85">
    <cfRule type="containsText" dxfId="243" priority="231" operator="containsText" text="Not Applicable">
      <formula>NOT(ISERROR(SEARCH("Not Applicable",D63)))</formula>
    </cfRule>
  </conditionalFormatting>
  <conditionalFormatting sqref="D63:D85">
    <cfRule type="containsText" dxfId="242" priority="230" operator="containsText" text="Not Applicable">
      <formula>NOT(ISERROR(SEARCH("Not Applicable",D63)))</formula>
    </cfRule>
  </conditionalFormatting>
  <conditionalFormatting sqref="D63:D85">
    <cfRule type="containsText" dxfId="241" priority="229" operator="containsText" text="Not Applicable">
      <formula>NOT(ISERROR(SEARCH("Not Applicable",D63)))</formula>
    </cfRule>
  </conditionalFormatting>
  <conditionalFormatting sqref="D63:D85">
    <cfRule type="containsText" dxfId="240" priority="228" operator="containsText" text="Not Applicable">
      <formula>NOT(ISERROR(SEARCH("Not Applicable",D63)))</formula>
    </cfRule>
  </conditionalFormatting>
  <conditionalFormatting sqref="D63:D85">
    <cfRule type="containsText" dxfId="239" priority="227" operator="containsText" text="Not Applicable">
      <formula>NOT(ISERROR(SEARCH("Not Applicable",D63)))</formula>
    </cfRule>
  </conditionalFormatting>
  <conditionalFormatting sqref="D87:D88">
    <cfRule type="containsText" dxfId="238" priority="226" operator="containsText" text="Not Applicable">
      <formula>NOT(ISERROR(SEARCH("Not Applicable",D87)))</formula>
    </cfRule>
  </conditionalFormatting>
  <conditionalFormatting sqref="D87:D88">
    <cfRule type="containsText" dxfId="237" priority="225" operator="containsText" text="Not Applicable">
      <formula>NOT(ISERROR(SEARCH("Not Applicable",D87)))</formula>
    </cfRule>
  </conditionalFormatting>
  <conditionalFormatting sqref="D87:D88">
    <cfRule type="containsText" dxfId="236" priority="224" operator="containsText" text="Not Applicable">
      <formula>NOT(ISERROR(SEARCH("Not Applicable",D87)))</formula>
    </cfRule>
  </conditionalFormatting>
  <conditionalFormatting sqref="D87:D88">
    <cfRule type="containsText" dxfId="235" priority="223" operator="containsText" text="Not Applicable">
      <formula>NOT(ISERROR(SEARCH("Not Applicable",D87)))</formula>
    </cfRule>
  </conditionalFormatting>
  <conditionalFormatting sqref="D87:D88">
    <cfRule type="containsText" dxfId="234" priority="222" operator="containsText" text="Not Applicable">
      <formula>NOT(ISERROR(SEARCH("Not Applicable",D87)))</formula>
    </cfRule>
  </conditionalFormatting>
  <conditionalFormatting sqref="D87:D88">
    <cfRule type="containsText" dxfId="233" priority="221" operator="containsText" text="Not Applicable">
      <formula>NOT(ISERROR(SEARCH("Not Applicable",D87)))</formula>
    </cfRule>
  </conditionalFormatting>
  <conditionalFormatting sqref="D87:D88">
    <cfRule type="containsText" dxfId="232" priority="220" operator="containsText" text="Not Applicable">
      <formula>NOT(ISERROR(SEARCH("Not Applicable",D87)))</formula>
    </cfRule>
  </conditionalFormatting>
  <conditionalFormatting sqref="D87:D88">
    <cfRule type="containsText" dxfId="231" priority="219" operator="containsText" text="Not Applicable">
      <formula>NOT(ISERROR(SEARCH("Not Applicable",D87)))</formula>
    </cfRule>
  </conditionalFormatting>
  <conditionalFormatting sqref="D87:D88">
    <cfRule type="containsText" dxfId="230" priority="218" operator="containsText" text="Not Applicable">
      <formula>NOT(ISERROR(SEARCH("Not Applicable",D87)))</formula>
    </cfRule>
  </conditionalFormatting>
  <conditionalFormatting sqref="D87:D88">
    <cfRule type="containsText" dxfId="229" priority="217" operator="containsText" text="Not Applicable">
      <formula>NOT(ISERROR(SEARCH("Not Applicable",D87)))</formula>
    </cfRule>
  </conditionalFormatting>
  <conditionalFormatting sqref="D87:D88">
    <cfRule type="containsText" dxfId="228" priority="216" operator="containsText" text="Not Applicable">
      <formula>NOT(ISERROR(SEARCH("Not Applicable",D87)))</formula>
    </cfRule>
  </conditionalFormatting>
  <conditionalFormatting sqref="D87:D88">
    <cfRule type="containsText" dxfId="227" priority="215" operator="containsText" text="Not Applicable">
      <formula>NOT(ISERROR(SEARCH("Not Applicable",D87)))</formula>
    </cfRule>
  </conditionalFormatting>
  <conditionalFormatting sqref="D87:D88">
    <cfRule type="containsText" dxfId="226" priority="214" operator="containsText" text="Not Applicable">
      <formula>NOT(ISERROR(SEARCH("Not Applicable",D87)))</formula>
    </cfRule>
  </conditionalFormatting>
  <conditionalFormatting sqref="D87:D88">
    <cfRule type="containsText" dxfId="225" priority="213" operator="containsText" text="Not Applicable">
      <formula>NOT(ISERROR(SEARCH("Not Applicable",D87)))</formula>
    </cfRule>
  </conditionalFormatting>
  <conditionalFormatting sqref="D87:D88">
    <cfRule type="containsText" dxfId="224" priority="212" operator="containsText" text="Not Applicable">
      <formula>NOT(ISERROR(SEARCH("Not Applicable",D87)))</formula>
    </cfRule>
  </conditionalFormatting>
  <conditionalFormatting sqref="D87:D88">
    <cfRule type="containsText" dxfId="223" priority="211" operator="containsText" text="Not Applicable">
      <formula>NOT(ISERROR(SEARCH("Not Applicable",D87)))</formula>
    </cfRule>
  </conditionalFormatting>
  <conditionalFormatting sqref="D87:D88">
    <cfRule type="containsText" dxfId="222" priority="210" operator="containsText" text="Not Applicable">
      <formula>NOT(ISERROR(SEARCH("Not Applicable",D87)))</formula>
    </cfRule>
  </conditionalFormatting>
  <conditionalFormatting sqref="D91:D104">
    <cfRule type="containsText" dxfId="221" priority="209" operator="containsText" text="Not Applicable">
      <formula>NOT(ISERROR(SEARCH("Not Applicable",D91)))</formula>
    </cfRule>
  </conditionalFormatting>
  <conditionalFormatting sqref="D91:D104">
    <cfRule type="containsText" dxfId="220" priority="208" operator="containsText" text="Not Applicable">
      <formula>NOT(ISERROR(SEARCH("Not Applicable",D91)))</formula>
    </cfRule>
  </conditionalFormatting>
  <conditionalFormatting sqref="D91:D104">
    <cfRule type="containsText" dxfId="219" priority="207" operator="containsText" text="Not Applicable">
      <formula>NOT(ISERROR(SEARCH("Not Applicable",D91)))</formula>
    </cfRule>
  </conditionalFormatting>
  <conditionalFormatting sqref="D91:D104">
    <cfRule type="containsText" dxfId="218" priority="206" operator="containsText" text="Not Applicable">
      <formula>NOT(ISERROR(SEARCH("Not Applicable",D91)))</formula>
    </cfRule>
  </conditionalFormatting>
  <conditionalFormatting sqref="D91:D104">
    <cfRule type="containsText" dxfId="217" priority="205" operator="containsText" text="Not Applicable">
      <formula>NOT(ISERROR(SEARCH("Not Applicable",D91)))</formula>
    </cfRule>
  </conditionalFormatting>
  <conditionalFormatting sqref="D91:D104">
    <cfRule type="containsText" dxfId="216" priority="204" operator="containsText" text="Not Applicable">
      <formula>NOT(ISERROR(SEARCH("Not Applicable",D91)))</formula>
    </cfRule>
  </conditionalFormatting>
  <conditionalFormatting sqref="D91:D104">
    <cfRule type="containsText" dxfId="215" priority="203" operator="containsText" text="Not Applicable">
      <formula>NOT(ISERROR(SEARCH("Not Applicable",D91)))</formula>
    </cfRule>
  </conditionalFormatting>
  <conditionalFormatting sqref="D91:D104">
    <cfRule type="containsText" dxfId="214" priority="202" operator="containsText" text="Not Applicable">
      <formula>NOT(ISERROR(SEARCH("Not Applicable",D91)))</formula>
    </cfRule>
  </conditionalFormatting>
  <conditionalFormatting sqref="D91:D104">
    <cfRule type="containsText" dxfId="213" priority="201" operator="containsText" text="Not Applicable">
      <formula>NOT(ISERROR(SEARCH("Not Applicable",D91)))</formula>
    </cfRule>
  </conditionalFormatting>
  <conditionalFormatting sqref="D91:D104">
    <cfRule type="containsText" dxfId="212" priority="200" operator="containsText" text="Not Applicable">
      <formula>NOT(ISERROR(SEARCH("Not Applicable",D91)))</formula>
    </cfRule>
  </conditionalFormatting>
  <conditionalFormatting sqref="D91:D104">
    <cfRule type="containsText" dxfId="211" priority="199" operator="containsText" text="Not Applicable">
      <formula>NOT(ISERROR(SEARCH("Not Applicable",D91)))</formula>
    </cfRule>
  </conditionalFormatting>
  <conditionalFormatting sqref="D91:D104">
    <cfRule type="containsText" dxfId="210" priority="198" operator="containsText" text="Not Applicable">
      <formula>NOT(ISERROR(SEARCH("Not Applicable",D91)))</formula>
    </cfRule>
  </conditionalFormatting>
  <conditionalFormatting sqref="D91:D104">
    <cfRule type="containsText" dxfId="209" priority="197" operator="containsText" text="Not Applicable">
      <formula>NOT(ISERROR(SEARCH("Not Applicable",D91)))</formula>
    </cfRule>
  </conditionalFormatting>
  <conditionalFormatting sqref="D91:D104">
    <cfRule type="containsText" dxfId="208" priority="196" operator="containsText" text="Not Applicable">
      <formula>NOT(ISERROR(SEARCH("Not Applicable",D91)))</formula>
    </cfRule>
  </conditionalFormatting>
  <conditionalFormatting sqref="D91:D104">
    <cfRule type="containsText" dxfId="207" priority="195" operator="containsText" text="Not Applicable">
      <formula>NOT(ISERROR(SEARCH("Not Applicable",D91)))</formula>
    </cfRule>
  </conditionalFormatting>
  <conditionalFormatting sqref="D91:D104">
    <cfRule type="containsText" dxfId="206" priority="194" operator="containsText" text="Not Applicable">
      <formula>NOT(ISERROR(SEARCH("Not Applicable",D91)))</formula>
    </cfRule>
  </conditionalFormatting>
  <conditionalFormatting sqref="D91:D104">
    <cfRule type="containsText" dxfId="205" priority="193" operator="containsText" text="Not Applicable">
      <formula>NOT(ISERROR(SEARCH("Not Applicable",D91)))</formula>
    </cfRule>
  </conditionalFormatting>
  <conditionalFormatting sqref="D106:D133">
    <cfRule type="containsText" dxfId="204" priority="192" operator="containsText" text="Not Applicable">
      <formula>NOT(ISERROR(SEARCH("Not Applicable",D106)))</formula>
    </cfRule>
  </conditionalFormatting>
  <conditionalFormatting sqref="D106:D133">
    <cfRule type="containsText" dxfId="203" priority="191" operator="containsText" text="Not Applicable">
      <formula>NOT(ISERROR(SEARCH("Not Applicable",D106)))</formula>
    </cfRule>
  </conditionalFormatting>
  <conditionalFormatting sqref="D106:D133">
    <cfRule type="containsText" dxfId="202" priority="190" operator="containsText" text="Not Applicable">
      <formula>NOT(ISERROR(SEARCH("Not Applicable",D106)))</formula>
    </cfRule>
  </conditionalFormatting>
  <conditionalFormatting sqref="D106:D133">
    <cfRule type="containsText" dxfId="201" priority="189" operator="containsText" text="Not Applicable">
      <formula>NOT(ISERROR(SEARCH("Not Applicable",D106)))</formula>
    </cfRule>
  </conditionalFormatting>
  <conditionalFormatting sqref="D106:D133">
    <cfRule type="containsText" dxfId="200" priority="188" operator="containsText" text="Not Applicable">
      <formula>NOT(ISERROR(SEARCH("Not Applicable",D106)))</formula>
    </cfRule>
  </conditionalFormatting>
  <conditionalFormatting sqref="D106:D133">
    <cfRule type="containsText" dxfId="199" priority="187" operator="containsText" text="Not Applicable">
      <formula>NOT(ISERROR(SEARCH("Not Applicable",D106)))</formula>
    </cfRule>
  </conditionalFormatting>
  <conditionalFormatting sqref="D106:D133">
    <cfRule type="containsText" dxfId="198" priority="186" operator="containsText" text="Not Applicable">
      <formula>NOT(ISERROR(SEARCH("Not Applicable",D106)))</formula>
    </cfRule>
  </conditionalFormatting>
  <conditionalFormatting sqref="D106:D133">
    <cfRule type="containsText" dxfId="197" priority="185" operator="containsText" text="Not Applicable">
      <formula>NOT(ISERROR(SEARCH("Not Applicable",D106)))</formula>
    </cfRule>
  </conditionalFormatting>
  <conditionalFormatting sqref="D106:D133">
    <cfRule type="containsText" dxfId="196" priority="184" operator="containsText" text="Not Applicable">
      <formula>NOT(ISERROR(SEARCH("Not Applicable",D106)))</formula>
    </cfRule>
  </conditionalFormatting>
  <conditionalFormatting sqref="D106:D133">
    <cfRule type="containsText" dxfId="195" priority="183" operator="containsText" text="Not Applicable">
      <formula>NOT(ISERROR(SEARCH("Not Applicable",D106)))</formula>
    </cfRule>
  </conditionalFormatting>
  <conditionalFormatting sqref="D106:D133">
    <cfRule type="containsText" dxfId="194" priority="182" operator="containsText" text="Not Applicable">
      <formula>NOT(ISERROR(SEARCH("Not Applicable",D106)))</formula>
    </cfRule>
  </conditionalFormatting>
  <conditionalFormatting sqref="D106:D133">
    <cfRule type="containsText" dxfId="193" priority="181" operator="containsText" text="Not Applicable">
      <formula>NOT(ISERROR(SEARCH("Not Applicable",D106)))</formula>
    </cfRule>
  </conditionalFormatting>
  <conditionalFormatting sqref="D106:D133">
    <cfRule type="containsText" dxfId="192" priority="180" operator="containsText" text="Not Applicable">
      <formula>NOT(ISERROR(SEARCH("Not Applicable",D106)))</formula>
    </cfRule>
  </conditionalFormatting>
  <conditionalFormatting sqref="D106:D133">
    <cfRule type="containsText" dxfId="191" priority="179" operator="containsText" text="Not Applicable">
      <formula>NOT(ISERROR(SEARCH("Not Applicable",D106)))</formula>
    </cfRule>
  </conditionalFormatting>
  <conditionalFormatting sqref="D106:D133">
    <cfRule type="containsText" dxfId="190" priority="178" operator="containsText" text="Not Applicable">
      <formula>NOT(ISERROR(SEARCH("Not Applicable",D106)))</formula>
    </cfRule>
  </conditionalFormatting>
  <conditionalFormatting sqref="D106:D133">
    <cfRule type="containsText" dxfId="189" priority="177" operator="containsText" text="Not Applicable">
      <formula>NOT(ISERROR(SEARCH("Not Applicable",D106)))</formula>
    </cfRule>
  </conditionalFormatting>
  <conditionalFormatting sqref="D106:D133">
    <cfRule type="containsText" dxfId="188" priority="176" operator="containsText" text="Not Applicable">
      <formula>NOT(ISERROR(SEARCH("Not Applicable",D106)))</formula>
    </cfRule>
  </conditionalFormatting>
  <conditionalFormatting sqref="D106:D133">
    <cfRule type="containsText" dxfId="187" priority="175" operator="containsText" text="Not Applicable">
      <formula>NOT(ISERROR(SEARCH("Not Applicable",D106)))</formula>
    </cfRule>
  </conditionalFormatting>
  <conditionalFormatting sqref="D106:D133">
    <cfRule type="containsText" dxfId="186" priority="174" operator="containsText" text="Not Applicable">
      <formula>NOT(ISERROR(SEARCH("Not Applicable",D106)))</formula>
    </cfRule>
  </conditionalFormatting>
  <conditionalFormatting sqref="D106:D133">
    <cfRule type="containsText" dxfId="185" priority="173" operator="containsText" text="Not Applicable">
      <formula>NOT(ISERROR(SEARCH("Not Applicable",D106)))</formula>
    </cfRule>
  </conditionalFormatting>
  <conditionalFormatting sqref="D106:D133">
    <cfRule type="containsText" dxfId="184" priority="172" operator="containsText" text="Not Applicable">
      <formula>NOT(ISERROR(SEARCH("Not Applicable",D106)))</formula>
    </cfRule>
  </conditionalFormatting>
  <conditionalFormatting sqref="D4:D17">
    <cfRule type="containsText" dxfId="183" priority="171" operator="containsText" text="Not Applicable">
      <formula>NOT(ISERROR(SEARCH("Not Applicable",D4)))</formula>
    </cfRule>
  </conditionalFormatting>
  <conditionalFormatting sqref="D4:D17">
    <cfRule type="containsText" dxfId="182" priority="170" operator="containsText" text="Not Applicable">
      <formula>NOT(ISERROR(SEARCH("Not Applicable",D4)))</formula>
    </cfRule>
  </conditionalFormatting>
  <conditionalFormatting sqref="D4:D17">
    <cfRule type="containsText" dxfId="181" priority="169" operator="containsText" text="Not Applicable">
      <formula>NOT(ISERROR(SEARCH("Not Applicable",D4)))</formula>
    </cfRule>
  </conditionalFormatting>
  <conditionalFormatting sqref="D4:D17">
    <cfRule type="containsText" dxfId="180" priority="168" operator="containsText" text="Not Applicable">
      <formula>NOT(ISERROR(SEARCH("Not Applicable",D4)))</formula>
    </cfRule>
  </conditionalFormatting>
  <conditionalFormatting sqref="D4:D17">
    <cfRule type="containsText" dxfId="179" priority="167" operator="containsText" text="Not Applicable">
      <formula>NOT(ISERROR(SEARCH("Not Applicable",D4)))</formula>
    </cfRule>
  </conditionalFormatting>
  <conditionalFormatting sqref="D4:D17">
    <cfRule type="containsText" dxfId="178" priority="166" operator="containsText" text="Not Applicable">
      <formula>NOT(ISERROR(SEARCH("Not Applicable",D4)))</formula>
    </cfRule>
  </conditionalFormatting>
  <conditionalFormatting sqref="D16">
    <cfRule type="containsText" dxfId="177" priority="165" operator="containsText" text="Not Applicable">
      <formula>NOT(ISERROR(SEARCH("Not Applicable",D16)))</formula>
    </cfRule>
  </conditionalFormatting>
  <conditionalFormatting sqref="D16">
    <cfRule type="containsText" dxfId="176" priority="164" operator="containsText" text="Not Applicable">
      <formula>NOT(ISERROR(SEARCH("Not Applicable",D16)))</formula>
    </cfRule>
  </conditionalFormatting>
  <conditionalFormatting sqref="D16">
    <cfRule type="containsText" dxfId="175" priority="163" operator="containsText" text="Not Applicable">
      <formula>NOT(ISERROR(SEARCH("Not Applicable",D16)))</formula>
    </cfRule>
  </conditionalFormatting>
  <conditionalFormatting sqref="D16">
    <cfRule type="containsText" dxfId="174" priority="162" operator="containsText" text="Not Applicable">
      <formula>NOT(ISERROR(SEARCH("Not Applicable",D16)))</formula>
    </cfRule>
  </conditionalFormatting>
  <conditionalFormatting sqref="D16">
    <cfRule type="containsText" dxfId="173" priority="161" operator="containsText" text="Not Applicable">
      <formula>NOT(ISERROR(SEARCH("Not Applicable",D16)))</formula>
    </cfRule>
  </conditionalFormatting>
  <conditionalFormatting sqref="D16">
    <cfRule type="containsText" dxfId="172" priority="160" operator="containsText" text="Not Applicable">
      <formula>NOT(ISERROR(SEARCH("Not Applicable",D16)))</formula>
    </cfRule>
  </conditionalFormatting>
  <conditionalFormatting sqref="D17">
    <cfRule type="containsText" dxfId="171" priority="159" operator="containsText" text="Not Applicable">
      <formula>NOT(ISERROR(SEARCH("Not Applicable",D17)))</formula>
    </cfRule>
  </conditionalFormatting>
  <conditionalFormatting sqref="D17">
    <cfRule type="containsText" dxfId="170" priority="158" operator="containsText" text="Not Applicable">
      <formula>NOT(ISERROR(SEARCH("Not Applicable",D17)))</formula>
    </cfRule>
  </conditionalFormatting>
  <conditionalFormatting sqref="D17">
    <cfRule type="containsText" dxfId="169" priority="157" operator="containsText" text="Not Applicable">
      <formula>NOT(ISERROR(SEARCH("Not Applicable",D17)))</formula>
    </cfRule>
  </conditionalFormatting>
  <conditionalFormatting sqref="D17">
    <cfRule type="containsText" dxfId="168" priority="156" operator="containsText" text="Not Applicable">
      <formula>NOT(ISERROR(SEARCH("Not Applicable",D17)))</formula>
    </cfRule>
  </conditionalFormatting>
  <conditionalFormatting sqref="D17">
    <cfRule type="containsText" dxfId="167" priority="155" operator="containsText" text="Not Applicable">
      <formula>NOT(ISERROR(SEARCH("Not Applicable",D17)))</formula>
    </cfRule>
  </conditionalFormatting>
  <conditionalFormatting sqref="D17">
    <cfRule type="containsText" dxfId="166" priority="154" operator="containsText" text="Not Applicable">
      <formula>NOT(ISERROR(SEARCH("Not Applicable",D17)))</formula>
    </cfRule>
  </conditionalFormatting>
  <conditionalFormatting sqref="D29:D31">
    <cfRule type="containsText" dxfId="165" priority="153" operator="containsText" text="Not Applicable">
      <formula>NOT(ISERROR(SEARCH("Not Applicable",D29)))</formula>
    </cfRule>
  </conditionalFormatting>
  <conditionalFormatting sqref="D29:D31">
    <cfRule type="containsText" dxfId="164" priority="152" operator="containsText" text="Not Applicable">
      <formula>NOT(ISERROR(SEARCH("Not Applicable",D29)))</formula>
    </cfRule>
  </conditionalFormatting>
  <conditionalFormatting sqref="D29:D31">
    <cfRule type="containsText" dxfId="163" priority="151" operator="containsText" text="Not Applicable">
      <formula>NOT(ISERROR(SEARCH("Not Applicable",D29)))</formula>
    </cfRule>
  </conditionalFormatting>
  <conditionalFormatting sqref="D55">
    <cfRule type="containsText" dxfId="162" priority="150" operator="containsText" text="Not Applicable">
      <formula>NOT(ISERROR(SEARCH("Not Applicable",D55)))</formula>
    </cfRule>
  </conditionalFormatting>
  <conditionalFormatting sqref="D55">
    <cfRule type="containsText" dxfId="161" priority="149" operator="containsText" text="Not Applicable">
      <formula>NOT(ISERROR(SEARCH("Not Applicable",D55)))</formula>
    </cfRule>
  </conditionalFormatting>
  <conditionalFormatting sqref="D55">
    <cfRule type="containsText" dxfId="160" priority="148" operator="containsText" text="Not Applicable">
      <formula>NOT(ISERROR(SEARCH("Not Applicable",D55)))</formula>
    </cfRule>
  </conditionalFormatting>
  <conditionalFormatting sqref="D55">
    <cfRule type="containsText" dxfId="159" priority="147" operator="containsText" text="Not Applicable">
      <formula>NOT(ISERROR(SEARCH("Not Applicable",D55)))</formula>
    </cfRule>
  </conditionalFormatting>
  <conditionalFormatting sqref="D84">
    <cfRule type="containsText" dxfId="158" priority="146" operator="containsText" text="Not Applicable">
      <formula>NOT(ISERROR(SEARCH("Not Applicable",D84)))</formula>
    </cfRule>
  </conditionalFormatting>
  <conditionalFormatting sqref="D84">
    <cfRule type="containsText" dxfId="157" priority="145" operator="containsText" text="Not Applicable">
      <formula>NOT(ISERROR(SEARCH("Not Applicable",D84)))</formula>
    </cfRule>
  </conditionalFormatting>
  <conditionalFormatting sqref="D84">
    <cfRule type="containsText" dxfId="156" priority="144" operator="containsText" text="Not Applicable">
      <formula>NOT(ISERROR(SEARCH("Not Applicable",D84)))</formula>
    </cfRule>
  </conditionalFormatting>
  <conditionalFormatting sqref="D84">
    <cfRule type="containsText" dxfId="155" priority="143" operator="containsText" text="Not Applicable">
      <formula>NOT(ISERROR(SEARCH("Not Applicable",D84)))</formula>
    </cfRule>
  </conditionalFormatting>
  <conditionalFormatting sqref="D102:D103">
    <cfRule type="containsText" dxfId="154" priority="142" operator="containsText" text="Not Applicable">
      <formula>NOT(ISERROR(SEARCH("Not Applicable",D102)))</formula>
    </cfRule>
  </conditionalFormatting>
  <conditionalFormatting sqref="D102:D103">
    <cfRule type="containsText" dxfId="153" priority="141" operator="containsText" text="Not Applicable">
      <formula>NOT(ISERROR(SEARCH("Not Applicable",D102)))</formula>
    </cfRule>
  </conditionalFormatting>
  <conditionalFormatting sqref="D102:D103">
    <cfRule type="containsText" dxfId="152" priority="140" operator="containsText" text="Not Applicable">
      <formula>NOT(ISERROR(SEARCH("Not Applicable",D102)))</formula>
    </cfRule>
  </conditionalFormatting>
  <conditionalFormatting sqref="D102:D103">
    <cfRule type="containsText" dxfId="151" priority="139" operator="containsText" text="Not Applicable">
      <formula>NOT(ISERROR(SEARCH("Not Applicable",D102)))</formula>
    </cfRule>
  </conditionalFormatting>
  <conditionalFormatting sqref="D132:D133">
    <cfRule type="containsText" dxfId="150" priority="138" operator="containsText" text="Not Applicable">
      <formula>NOT(ISERROR(SEARCH("Not Applicable",D132)))</formula>
    </cfRule>
  </conditionalFormatting>
  <conditionalFormatting sqref="D132:D133">
    <cfRule type="containsText" dxfId="149" priority="137" operator="containsText" text="Not Applicable">
      <formula>NOT(ISERROR(SEARCH("Not Applicable",D132)))</formula>
    </cfRule>
  </conditionalFormatting>
  <conditionalFormatting sqref="D132:D133">
    <cfRule type="containsText" dxfId="148" priority="136" operator="containsText" text="Not Applicable">
      <formula>NOT(ISERROR(SEARCH("Not Applicable",D132)))</formula>
    </cfRule>
  </conditionalFormatting>
  <conditionalFormatting sqref="D132:D133">
    <cfRule type="containsText" dxfId="147" priority="135" operator="containsText" text="Not Applicable">
      <formula>NOT(ISERROR(SEARCH("Not Applicable",D132)))</formula>
    </cfRule>
  </conditionalFormatting>
  <conditionalFormatting sqref="D27:D31">
    <cfRule type="containsText" dxfId="146" priority="134" operator="containsText" text="Not Applicable">
      <formula>NOT(ISERROR(SEARCH("Not Applicable",D27)))</formula>
    </cfRule>
  </conditionalFormatting>
  <conditionalFormatting sqref="D27:D31">
    <cfRule type="containsText" dxfId="145" priority="133" operator="containsText" text="Not Applicable">
      <formula>NOT(ISERROR(SEARCH("Not Applicable",D27)))</formula>
    </cfRule>
  </conditionalFormatting>
  <conditionalFormatting sqref="D27:D31">
    <cfRule type="containsText" dxfId="144" priority="132" operator="containsText" text="Not Applicable">
      <formula>NOT(ISERROR(SEARCH("Not Applicable",D27)))</formula>
    </cfRule>
  </conditionalFormatting>
  <conditionalFormatting sqref="D27:D31">
    <cfRule type="containsText" dxfId="143" priority="131" operator="containsText" text="Not Applicable">
      <formula>NOT(ISERROR(SEARCH("Not Applicable",D27)))</formula>
    </cfRule>
  </conditionalFormatting>
  <conditionalFormatting sqref="D27:D31">
    <cfRule type="containsText" dxfId="142" priority="130" operator="containsText" text="Not Applicable">
      <formula>NOT(ISERROR(SEARCH("Not Applicable",D27)))</formula>
    </cfRule>
  </conditionalFormatting>
  <conditionalFormatting sqref="D27:D31">
    <cfRule type="containsText" dxfId="141" priority="129" operator="containsText" text="Not Applicable">
      <formula>NOT(ISERROR(SEARCH("Not Applicable",D27)))</formula>
    </cfRule>
  </conditionalFormatting>
  <conditionalFormatting sqref="D27:D31">
    <cfRule type="containsText" dxfId="140" priority="128" operator="containsText" text="Not Applicable">
      <formula>NOT(ISERROR(SEARCH("Not Applicable",D27)))</formula>
    </cfRule>
  </conditionalFormatting>
  <conditionalFormatting sqref="D27:D31">
    <cfRule type="containsText" dxfId="139" priority="127" operator="containsText" text="Not Applicable">
      <formula>NOT(ISERROR(SEARCH("Not Applicable",D27)))</formula>
    </cfRule>
  </conditionalFormatting>
  <conditionalFormatting sqref="D27:D31">
    <cfRule type="containsText" dxfId="138" priority="126" operator="containsText" text="Not Applicable">
      <formula>NOT(ISERROR(SEARCH("Not Applicable",D27)))</formula>
    </cfRule>
  </conditionalFormatting>
  <conditionalFormatting sqref="D27:D31">
    <cfRule type="containsText" dxfId="137" priority="125" operator="containsText" text="Not Applicable">
      <formula>NOT(ISERROR(SEARCH("Not Applicable",D27)))</formula>
    </cfRule>
  </conditionalFormatting>
  <conditionalFormatting sqref="D27:D31">
    <cfRule type="containsText" dxfId="136" priority="124" operator="containsText" text="Not Applicable">
      <formula>NOT(ISERROR(SEARCH("Not Applicable",D27)))</formula>
    </cfRule>
  </conditionalFormatting>
  <conditionalFormatting sqref="D27:D31">
    <cfRule type="containsText" dxfId="135" priority="123" operator="containsText" text="Not Applicable">
      <formula>NOT(ISERROR(SEARCH("Not Applicable",D27)))</formula>
    </cfRule>
  </conditionalFormatting>
  <conditionalFormatting sqref="D27:D31">
    <cfRule type="containsText" dxfId="134" priority="122" operator="containsText" text="Not Applicable">
      <formula>NOT(ISERROR(SEARCH("Not Applicable",D27)))</formula>
    </cfRule>
  </conditionalFormatting>
  <conditionalFormatting sqref="D27:D31">
    <cfRule type="containsText" dxfId="133" priority="121" operator="containsText" text="Not Applicable">
      <formula>NOT(ISERROR(SEARCH("Not Applicable",D27)))</formula>
    </cfRule>
  </conditionalFormatting>
  <conditionalFormatting sqref="D27:D31">
    <cfRule type="containsText" dxfId="132" priority="120" operator="containsText" text="Not Applicable">
      <formula>NOT(ISERROR(SEARCH("Not Applicable",D27)))</formula>
    </cfRule>
  </conditionalFormatting>
  <conditionalFormatting sqref="D27:D31">
    <cfRule type="containsText" dxfId="131" priority="119" operator="containsText" text="Not Applicable">
      <formula>NOT(ISERROR(SEARCH("Not Applicable",D27)))</formula>
    </cfRule>
  </conditionalFormatting>
  <conditionalFormatting sqref="D41:D56">
    <cfRule type="containsText" dxfId="130" priority="118" operator="containsText" text="Not Applicable">
      <formula>NOT(ISERROR(SEARCH("Not Applicable",D41)))</formula>
    </cfRule>
  </conditionalFormatting>
  <conditionalFormatting sqref="D41:D56">
    <cfRule type="containsText" dxfId="129" priority="117" operator="containsText" text="Not Applicable">
      <formula>NOT(ISERROR(SEARCH("Not Applicable",D41)))</formula>
    </cfRule>
  </conditionalFormatting>
  <conditionalFormatting sqref="D41:D56">
    <cfRule type="containsText" dxfId="128" priority="116" operator="containsText" text="Not Applicable">
      <formula>NOT(ISERROR(SEARCH("Not Applicable",D41)))</formula>
    </cfRule>
  </conditionalFormatting>
  <conditionalFormatting sqref="D41:D56">
    <cfRule type="containsText" dxfId="127" priority="115" operator="containsText" text="Not Applicable">
      <formula>NOT(ISERROR(SEARCH("Not Applicable",D41)))</formula>
    </cfRule>
  </conditionalFormatting>
  <conditionalFormatting sqref="D41:D56">
    <cfRule type="containsText" dxfId="126" priority="114" operator="containsText" text="Not Applicable">
      <formula>NOT(ISERROR(SEARCH("Not Applicable",D41)))</formula>
    </cfRule>
  </conditionalFormatting>
  <conditionalFormatting sqref="D41:D56">
    <cfRule type="containsText" dxfId="125" priority="113" operator="containsText" text="Not Applicable">
      <formula>NOT(ISERROR(SEARCH("Not Applicable",D41)))</formula>
    </cfRule>
  </conditionalFormatting>
  <conditionalFormatting sqref="D41:D56">
    <cfRule type="containsText" dxfId="124" priority="112" operator="containsText" text="Not Applicable">
      <formula>NOT(ISERROR(SEARCH("Not Applicable",D41)))</formula>
    </cfRule>
  </conditionalFormatting>
  <conditionalFormatting sqref="D41:D56">
    <cfRule type="containsText" dxfId="123" priority="111" operator="containsText" text="Not Applicable">
      <formula>NOT(ISERROR(SEARCH("Not Applicable",D41)))</formula>
    </cfRule>
  </conditionalFormatting>
  <conditionalFormatting sqref="D41:D56">
    <cfRule type="containsText" dxfId="122" priority="110" operator="containsText" text="Not Applicable">
      <formula>NOT(ISERROR(SEARCH("Not Applicable",D41)))</formula>
    </cfRule>
  </conditionalFormatting>
  <conditionalFormatting sqref="D41:D56">
    <cfRule type="containsText" dxfId="121" priority="109" operator="containsText" text="Not Applicable">
      <formula>NOT(ISERROR(SEARCH("Not Applicable",D41)))</formula>
    </cfRule>
  </conditionalFormatting>
  <conditionalFormatting sqref="D41:D56">
    <cfRule type="containsText" dxfId="120" priority="108" operator="containsText" text="Not Applicable">
      <formula>NOT(ISERROR(SEARCH("Not Applicable",D41)))</formula>
    </cfRule>
  </conditionalFormatting>
  <conditionalFormatting sqref="D41:D56">
    <cfRule type="containsText" dxfId="119" priority="107" operator="containsText" text="Not Applicable">
      <formula>NOT(ISERROR(SEARCH("Not Applicable",D41)))</formula>
    </cfRule>
  </conditionalFormatting>
  <conditionalFormatting sqref="D41:D56">
    <cfRule type="containsText" dxfId="118" priority="106" operator="containsText" text="Not Applicable">
      <formula>NOT(ISERROR(SEARCH("Not Applicable",D41)))</formula>
    </cfRule>
  </conditionalFormatting>
  <conditionalFormatting sqref="D41:D56">
    <cfRule type="containsText" dxfId="117" priority="105" operator="containsText" text="Not Applicable">
      <formula>NOT(ISERROR(SEARCH("Not Applicable",D41)))</formula>
    </cfRule>
  </conditionalFormatting>
  <conditionalFormatting sqref="D41:D56">
    <cfRule type="containsText" dxfId="116" priority="104" operator="containsText" text="Not Applicable">
      <formula>NOT(ISERROR(SEARCH("Not Applicable",D41)))</formula>
    </cfRule>
  </conditionalFormatting>
  <conditionalFormatting sqref="D41:D56">
    <cfRule type="containsText" dxfId="115" priority="103" operator="containsText" text="Not Applicable">
      <formula>NOT(ISERROR(SEARCH("Not Applicable",D41)))</formula>
    </cfRule>
  </conditionalFormatting>
  <conditionalFormatting sqref="D41:D56">
    <cfRule type="containsText" dxfId="114" priority="102" operator="containsText" text="Not Applicable">
      <formula>NOT(ISERROR(SEARCH("Not Applicable",D41)))</formula>
    </cfRule>
  </conditionalFormatting>
  <conditionalFormatting sqref="D60:D68">
    <cfRule type="containsText" dxfId="113" priority="101" operator="containsText" text="Not Applicable">
      <formula>NOT(ISERROR(SEARCH("Not Applicable",D60)))</formula>
    </cfRule>
  </conditionalFormatting>
  <conditionalFormatting sqref="D60:D68">
    <cfRule type="containsText" dxfId="112" priority="100" operator="containsText" text="Not Applicable">
      <formula>NOT(ISERROR(SEARCH("Not Applicable",D60)))</formula>
    </cfRule>
  </conditionalFormatting>
  <conditionalFormatting sqref="D60:D68">
    <cfRule type="containsText" dxfId="111" priority="99" operator="containsText" text="Not Applicable">
      <formula>NOT(ISERROR(SEARCH("Not Applicable",D60)))</formula>
    </cfRule>
  </conditionalFormatting>
  <conditionalFormatting sqref="D60:D68">
    <cfRule type="containsText" dxfId="110" priority="98" operator="containsText" text="Not Applicable">
      <formula>NOT(ISERROR(SEARCH("Not Applicable",D60)))</formula>
    </cfRule>
  </conditionalFormatting>
  <conditionalFormatting sqref="D60:D68">
    <cfRule type="containsText" dxfId="109" priority="97" operator="containsText" text="Not Applicable">
      <formula>NOT(ISERROR(SEARCH("Not Applicable",D60)))</formula>
    </cfRule>
  </conditionalFormatting>
  <conditionalFormatting sqref="D60:D68">
    <cfRule type="containsText" dxfId="108" priority="96" operator="containsText" text="Not Applicable">
      <formula>NOT(ISERROR(SEARCH("Not Applicable",D60)))</formula>
    </cfRule>
  </conditionalFormatting>
  <conditionalFormatting sqref="D60:D68">
    <cfRule type="containsText" dxfId="107" priority="95" operator="containsText" text="Not Applicable">
      <formula>NOT(ISERROR(SEARCH("Not Applicable",D60)))</formula>
    </cfRule>
  </conditionalFormatting>
  <conditionalFormatting sqref="D60:D68">
    <cfRule type="containsText" dxfId="106" priority="94" operator="containsText" text="Not Applicable">
      <formula>NOT(ISERROR(SEARCH("Not Applicable",D60)))</formula>
    </cfRule>
  </conditionalFormatting>
  <conditionalFormatting sqref="D60:D68">
    <cfRule type="containsText" dxfId="105" priority="93" operator="containsText" text="Not Applicable">
      <formula>NOT(ISERROR(SEARCH("Not Applicable",D60)))</formula>
    </cfRule>
  </conditionalFormatting>
  <conditionalFormatting sqref="D60:D68">
    <cfRule type="containsText" dxfId="104" priority="92" operator="containsText" text="Not Applicable">
      <formula>NOT(ISERROR(SEARCH("Not Applicable",D60)))</formula>
    </cfRule>
  </conditionalFormatting>
  <conditionalFormatting sqref="D60:D68">
    <cfRule type="containsText" dxfId="103" priority="91" operator="containsText" text="Not Applicable">
      <formula>NOT(ISERROR(SEARCH("Not Applicable",D60)))</formula>
    </cfRule>
  </conditionalFormatting>
  <conditionalFormatting sqref="D60:D68">
    <cfRule type="containsText" dxfId="102" priority="90" operator="containsText" text="Not Applicable">
      <formula>NOT(ISERROR(SEARCH("Not Applicable",D60)))</formula>
    </cfRule>
  </conditionalFormatting>
  <conditionalFormatting sqref="D60:D68">
    <cfRule type="containsText" dxfId="101" priority="89" operator="containsText" text="Not Applicable">
      <formula>NOT(ISERROR(SEARCH("Not Applicable",D60)))</formula>
    </cfRule>
  </conditionalFormatting>
  <conditionalFormatting sqref="D60:D68">
    <cfRule type="containsText" dxfId="100" priority="88" operator="containsText" text="Not Applicable">
      <formula>NOT(ISERROR(SEARCH("Not Applicable",D60)))</formula>
    </cfRule>
  </conditionalFormatting>
  <conditionalFormatting sqref="D60:D68">
    <cfRule type="containsText" dxfId="99" priority="87" operator="containsText" text="Not Applicable">
      <formula>NOT(ISERROR(SEARCH("Not Applicable",D60)))</formula>
    </cfRule>
  </conditionalFormatting>
  <conditionalFormatting sqref="D60:D68">
    <cfRule type="containsText" dxfId="98" priority="86" operator="containsText" text="Not Applicable">
      <formula>NOT(ISERROR(SEARCH("Not Applicable",D60)))</formula>
    </cfRule>
  </conditionalFormatting>
  <conditionalFormatting sqref="D60:D68">
    <cfRule type="containsText" dxfId="97" priority="85" operator="containsText" text="Not Applicable">
      <formula>NOT(ISERROR(SEARCH("Not Applicable",D60)))</formula>
    </cfRule>
  </conditionalFormatting>
  <conditionalFormatting sqref="D88:D94">
    <cfRule type="containsText" dxfId="96" priority="84" operator="containsText" text="Not Applicable">
      <formula>NOT(ISERROR(SEARCH("Not Applicable",D88)))</formula>
    </cfRule>
  </conditionalFormatting>
  <conditionalFormatting sqref="D88:D94">
    <cfRule type="containsText" dxfId="95" priority="83" operator="containsText" text="Not Applicable">
      <formula>NOT(ISERROR(SEARCH("Not Applicable",D88)))</formula>
    </cfRule>
  </conditionalFormatting>
  <conditionalFormatting sqref="D88:D94">
    <cfRule type="containsText" dxfId="94" priority="82" operator="containsText" text="Not Applicable">
      <formula>NOT(ISERROR(SEARCH("Not Applicable",D88)))</formula>
    </cfRule>
  </conditionalFormatting>
  <conditionalFormatting sqref="D88:D94">
    <cfRule type="containsText" dxfId="93" priority="81" operator="containsText" text="Not Applicable">
      <formula>NOT(ISERROR(SEARCH("Not Applicable",D88)))</formula>
    </cfRule>
  </conditionalFormatting>
  <conditionalFormatting sqref="D88:D94">
    <cfRule type="containsText" dxfId="92" priority="80" operator="containsText" text="Not Applicable">
      <formula>NOT(ISERROR(SEARCH("Not Applicable",D88)))</formula>
    </cfRule>
  </conditionalFormatting>
  <conditionalFormatting sqref="D88:D94">
    <cfRule type="containsText" dxfId="91" priority="79" operator="containsText" text="Not Applicable">
      <formula>NOT(ISERROR(SEARCH("Not Applicable",D88)))</formula>
    </cfRule>
  </conditionalFormatting>
  <conditionalFormatting sqref="D88:D94">
    <cfRule type="containsText" dxfId="90" priority="78" operator="containsText" text="Not Applicable">
      <formula>NOT(ISERROR(SEARCH("Not Applicable",D88)))</formula>
    </cfRule>
  </conditionalFormatting>
  <conditionalFormatting sqref="D88:D94">
    <cfRule type="containsText" dxfId="89" priority="77" operator="containsText" text="Not Applicable">
      <formula>NOT(ISERROR(SEARCH("Not Applicable",D88)))</formula>
    </cfRule>
  </conditionalFormatting>
  <conditionalFormatting sqref="D88:D94">
    <cfRule type="containsText" dxfId="88" priority="76" operator="containsText" text="Not Applicable">
      <formula>NOT(ISERROR(SEARCH("Not Applicable",D88)))</formula>
    </cfRule>
  </conditionalFormatting>
  <conditionalFormatting sqref="D88:D94">
    <cfRule type="containsText" dxfId="87" priority="75" operator="containsText" text="Not Applicable">
      <formula>NOT(ISERROR(SEARCH("Not Applicable",D88)))</formula>
    </cfRule>
  </conditionalFormatting>
  <conditionalFormatting sqref="D88:D94">
    <cfRule type="containsText" dxfId="86" priority="74" operator="containsText" text="Not Applicable">
      <formula>NOT(ISERROR(SEARCH("Not Applicable",D88)))</formula>
    </cfRule>
  </conditionalFormatting>
  <conditionalFormatting sqref="D88:D94">
    <cfRule type="containsText" dxfId="85" priority="73" operator="containsText" text="Not Applicable">
      <formula>NOT(ISERROR(SEARCH("Not Applicable",D88)))</formula>
    </cfRule>
  </conditionalFormatting>
  <conditionalFormatting sqref="D88:D94">
    <cfRule type="containsText" dxfId="84" priority="72" operator="containsText" text="Not Applicable">
      <formula>NOT(ISERROR(SEARCH("Not Applicable",D88)))</formula>
    </cfRule>
  </conditionalFormatting>
  <conditionalFormatting sqref="D88:D94">
    <cfRule type="containsText" dxfId="83" priority="71" operator="containsText" text="Not Applicable">
      <formula>NOT(ISERROR(SEARCH("Not Applicable",D88)))</formula>
    </cfRule>
  </conditionalFormatting>
  <conditionalFormatting sqref="D88:D94">
    <cfRule type="containsText" dxfId="82" priority="70" operator="containsText" text="Not Applicable">
      <formula>NOT(ISERROR(SEARCH("Not Applicable",D88)))</formula>
    </cfRule>
  </conditionalFormatting>
  <conditionalFormatting sqref="D88:D94">
    <cfRule type="containsText" dxfId="81" priority="69" operator="containsText" text="Not Applicable">
      <formula>NOT(ISERROR(SEARCH("Not Applicable",D88)))</formula>
    </cfRule>
  </conditionalFormatting>
  <conditionalFormatting sqref="D88:D94">
    <cfRule type="containsText" dxfId="80" priority="68" operator="containsText" text="Not Applicable">
      <formula>NOT(ISERROR(SEARCH("Not Applicable",D88)))</formula>
    </cfRule>
  </conditionalFormatting>
  <conditionalFormatting sqref="D121:D127">
    <cfRule type="containsText" dxfId="79" priority="67" operator="containsText" text="Not Applicable">
      <formula>NOT(ISERROR(SEARCH("Not Applicable",D121)))</formula>
    </cfRule>
  </conditionalFormatting>
  <conditionalFormatting sqref="D121:D127">
    <cfRule type="containsText" dxfId="78" priority="66" operator="containsText" text="Not Applicable">
      <formula>NOT(ISERROR(SEARCH("Not Applicable",D121)))</formula>
    </cfRule>
  </conditionalFormatting>
  <conditionalFormatting sqref="D121:D127">
    <cfRule type="containsText" dxfId="77" priority="65" operator="containsText" text="Not Applicable">
      <formula>NOT(ISERROR(SEARCH("Not Applicable",D121)))</formula>
    </cfRule>
  </conditionalFormatting>
  <conditionalFormatting sqref="D121:D127">
    <cfRule type="containsText" dxfId="76" priority="64" operator="containsText" text="Not Applicable">
      <formula>NOT(ISERROR(SEARCH("Not Applicable",D121)))</formula>
    </cfRule>
  </conditionalFormatting>
  <conditionalFormatting sqref="D121:D127">
    <cfRule type="containsText" dxfId="75" priority="63" operator="containsText" text="Not Applicable">
      <formula>NOT(ISERROR(SEARCH("Not Applicable",D121)))</formula>
    </cfRule>
  </conditionalFormatting>
  <conditionalFormatting sqref="D121:D127">
    <cfRule type="containsText" dxfId="74" priority="62" operator="containsText" text="Not Applicable">
      <formula>NOT(ISERROR(SEARCH("Not Applicable",D121)))</formula>
    </cfRule>
  </conditionalFormatting>
  <conditionalFormatting sqref="D121:D127">
    <cfRule type="containsText" dxfId="73" priority="61" operator="containsText" text="Not Applicable">
      <formula>NOT(ISERROR(SEARCH("Not Applicable",D121)))</formula>
    </cfRule>
  </conditionalFormatting>
  <conditionalFormatting sqref="D121:D127">
    <cfRule type="containsText" dxfId="72" priority="60" operator="containsText" text="Not Applicable">
      <formula>NOT(ISERROR(SEARCH("Not Applicable",D121)))</formula>
    </cfRule>
  </conditionalFormatting>
  <conditionalFormatting sqref="D121:D127">
    <cfRule type="containsText" dxfId="71" priority="59" operator="containsText" text="Not Applicable">
      <formula>NOT(ISERROR(SEARCH("Not Applicable",D121)))</formula>
    </cfRule>
  </conditionalFormatting>
  <conditionalFormatting sqref="D121:D127">
    <cfRule type="containsText" dxfId="70" priority="58" operator="containsText" text="Not Applicable">
      <formula>NOT(ISERROR(SEARCH("Not Applicable",D121)))</formula>
    </cfRule>
  </conditionalFormatting>
  <conditionalFormatting sqref="D121:D127">
    <cfRule type="containsText" dxfId="69" priority="57" operator="containsText" text="Not Applicable">
      <formula>NOT(ISERROR(SEARCH("Not Applicable",D121)))</formula>
    </cfRule>
  </conditionalFormatting>
  <conditionalFormatting sqref="D121:D127">
    <cfRule type="containsText" dxfId="68" priority="56" operator="containsText" text="Not Applicable">
      <formula>NOT(ISERROR(SEARCH("Not Applicable",D121)))</formula>
    </cfRule>
  </conditionalFormatting>
  <conditionalFormatting sqref="D121:D127">
    <cfRule type="containsText" dxfId="67" priority="55" operator="containsText" text="Not Applicable">
      <formula>NOT(ISERROR(SEARCH("Not Applicable",D121)))</formula>
    </cfRule>
  </conditionalFormatting>
  <conditionalFormatting sqref="D121:D127">
    <cfRule type="containsText" dxfId="66" priority="54" operator="containsText" text="Not Applicable">
      <formula>NOT(ISERROR(SEARCH("Not Applicable",D121)))</formula>
    </cfRule>
  </conditionalFormatting>
  <conditionalFormatting sqref="D121:D127">
    <cfRule type="containsText" dxfId="65" priority="53" operator="containsText" text="Not Applicable">
      <formula>NOT(ISERROR(SEARCH("Not Applicable",D121)))</formula>
    </cfRule>
  </conditionalFormatting>
  <conditionalFormatting sqref="D121:D127">
    <cfRule type="containsText" dxfId="64" priority="52" operator="containsText" text="Not Applicable">
      <formula>NOT(ISERROR(SEARCH("Not Applicable",D121)))</formula>
    </cfRule>
  </conditionalFormatting>
  <conditionalFormatting sqref="D121:D127">
    <cfRule type="containsText" dxfId="63" priority="51" operator="containsText" text="Not Applicable">
      <formula>NOT(ISERROR(SEARCH("Not Applicable",D121)))</formula>
    </cfRule>
  </conditionalFormatting>
  <conditionalFormatting sqref="D114:D120">
    <cfRule type="containsText" dxfId="62" priority="50" operator="containsText" text="Not Applicable">
      <formula>NOT(ISERROR(SEARCH("Not Applicable",D114)))</formula>
    </cfRule>
  </conditionalFormatting>
  <conditionalFormatting sqref="D114:D120">
    <cfRule type="containsText" dxfId="61" priority="49" operator="containsText" text="Not Applicable">
      <formula>NOT(ISERROR(SEARCH("Not Applicable",D114)))</formula>
    </cfRule>
  </conditionalFormatting>
  <conditionalFormatting sqref="D114:D120">
    <cfRule type="containsText" dxfId="60" priority="48" operator="containsText" text="Not Applicable">
      <formula>NOT(ISERROR(SEARCH("Not Applicable",D114)))</formula>
    </cfRule>
  </conditionalFormatting>
  <conditionalFormatting sqref="D114:D120">
    <cfRule type="containsText" dxfId="59" priority="47" operator="containsText" text="Not Applicable">
      <formula>NOT(ISERROR(SEARCH("Not Applicable",D114)))</formula>
    </cfRule>
  </conditionalFormatting>
  <conditionalFormatting sqref="D114:D120">
    <cfRule type="containsText" dxfId="58" priority="46" operator="containsText" text="Not Applicable">
      <formula>NOT(ISERROR(SEARCH("Not Applicable",D114)))</formula>
    </cfRule>
  </conditionalFormatting>
  <conditionalFormatting sqref="D114:D120">
    <cfRule type="containsText" dxfId="57" priority="45" operator="containsText" text="Not Applicable">
      <formula>NOT(ISERROR(SEARCH("Not Applicable",D114)))</formula>
    </cfRule>
  </conditionalFormatting>
  <conditionalFormatting sqref="D114:D120">
    <cfRule type="containsText" dxfId="56" priority="44" operator="containsText" text="Not Applicable">
      <formula>NOT(ISERROR(SEARCH("Not Applicable",D114)))</formula>
    </cfRule>
  </conditionalFormatting>
  <conditionalFormatting sqref="D114:D120">
    <cfRule type="containsText" dxfId="55" priority="43" operator="containsText" text="Not Applicable">
      <formula>NOT(ISERROR(SEARCH("Not Applicable",D114)))</formula>
    </cfRule>
  </conditionalFormatting>
  <conditionalFormatting sqref="D114:D120">
    <cfRule type="containsText" dxfId="54" priority="42" operator="containsText" text="Not Applicable">
      <formula>NOT(ISERROR(SEARCH("Not Applicable",D114)))</formula>
    </cfRule>
  </conditionalFormatting>
  <conditionalFormatting sqref="D114:D120">
    <cfRule type="containsText" dxfId="53" priority="41" operator="containsText" text="Not Applicable">
      <formula>NOT(ISERROR(SEARCH("Not Applicable",D114)))</formula>
    </cfRule>
  </conditionalFormatting>
  <conditionalFormatting sqref="D114:D120">
    <cfRule type="containsText" dxfId="52" priority="40" operator="containsText" text="Not Applicable">
      <formula>NOT(ISERROR(SEARCH("Not Applicable",D114)))</formula>
    </cfRule>
  </conditionalFormatting>
  <conditionalFormatting sqref="D114:D120">
    <cfRule type="containsText" dxfId="51" priority="39" operator="containsText" text="Not Applicable">
      <formula>NOT(ISERROR(SEARCH("Not Applicable",D114)))</formula>
    </cfRule>
  </conditionalFormatting>
  <conditionalFormatting sqref="D114:D120">
    <cfRule type="containsText" dxfId="50" priority="38" operator="containsText" text="Not Applicable">
      <formula>NOT(ISERROR(SEARCH("Not Applicable",D114)))</formula>
    </cfRule>
  </conditionalFormatting>
  <conditionalFormatting sqref="D114:D120">
    <cfRule type="containsText" dxfId="49" priority="37" operator="containsText" text="Not Applicable">
      <formula>NOT(ISERROR(SEARCH("Not Applicable",D114)))</formula>
    </cfRule>
  </conditionalFormatting>
  <conditionalFormatting sqref="D114:D120">
    <cfRule type="containsText" dxfId="48" priority="36" operator="containsText" text="Not Applicable">
      <formula>NOT(ISERROR(SEARCH("Not Applicable",D114)))</formula>
    </cfRule>
  </conditionalFormatting>
  <conditionalFormatting sqref="D114:D120">
    <cfRule type="containsText" dxfId="47" priority="35" operator="containsText" text="Not Applicable">
      <formula>NOT(ISERROR(SEARCH("Not Applicable",D114)))</formula>
    </cfRule>
  </conditionalFormatting>
  <conditionalFormatting sqref="D114:D120">
    <cfRule type="containsText" dxfId="46" priority="34" operator="containsText" text="Not Applicable">
      <formula>NOT(ISERROR(SEARCH("Not Applicable",D114)))</formula>
    </cfRule>
  </conditionalFormatting>
  <conditionalFormatting sqref="D19:D31">
    <cfRule type="containsText" dxfId="45" priority="33" operator="containsText" text="Not Applicable">
      <formula>NOT(ISERROR(SEARCH("Not Applicable",D19)))</formula>
    </cfRule>
  </conditionalFormatting>
  <conditionalFormatting sqref="D19:D31">
    <cfRule type="containsText" dxfId="44" priority="32" operator="containsText" text="Not Applicable">
      <formula>NOT(ISERROR(SEARCH("Not Applicable",D19)))</formula>
    </cfRule>
  </conditionalFormatting>
  <conditionalFormatting sqref="D19:D31">
    <cfRule type="containsText" dxfId="43" priority="31" operator="containsText" text="Not Applicable">
      <formula>NOT(ISERROR(SEARCH("Not Applicable",D19)))</formula>
    </cfRule>
  </conditionalFormatting>
  <conditionalFormatting sqref="D19:D31">
    <cfRule type="containsText" dxfId="42" priority="30" operator="containsText" text="Not Applicable">
      <formula>NOT(ISERROR(SEARCH("Not Applicable",D19)))</formula>
    </cfRule>
  </conditionalFormatting>
  <conditionalFormatting sqref="D19:D31">
    <cfRule type="containsText" dxfId="41" priority="29" operator="containsText" text="Not Applicable">
      <formula>NOT(ISERROR(SEARCH("Not Applicable",D19)))</formula>
    </cfRule>
  </conditionalFormatting>
  <conditionalFormatting sqref="D19:D31">
    <cfRule type="containsText" dxfId="40" priority="28" operator="containsText" text="Not Applicable">
      <formula>NOT(ISERROR(SEARCH("Not Applicable",D19)))</formula>
    </cfRule>
  </conditionalFormatting>
  <conditionalFormatting sqref="D19:D31">
    <cfRule type="containsText" dxfId="39" priority="27" operator="containsText" text="Not Applicable">
      <formula>NOT(ISERROR(SEARCH("Not Applicable",D19)))</formula>
    </cfRule>
  </conditionalFormatting>
  <conditionalFormatting sqref="D19:D31">
    <cfRule type="containsText" dxfId="38" priority="26" operator="containsText" text="Not Applicable">
      <formula>NOT(ISERROR(SEARCH("Not Applicable",D19)))</formula>
    </cfRule>
  </conditionalFormatting>
  <conditionalFormatting sqref="D19:D31">
    <cfRule type="containsText" dxfId="37" priority="25" operator="containsText" text="Not Applicable">
      <formula>NOT(ISERROR(SEARCH("Not Applicable",D19)))</formula>
    </cfRule>
  </conditionalFormatting>
  <conditionalFormatting sqref="D19:D31">
    <cfRule type="containsText" dxfId="36" priority="24" operator="containsText" text="Not Applicable">
      <formula>NOT(ISERROR(SEARCH("Not Applicable",D19)))</formula>
    </cfRule>
  </conditionalFormatting>
  <conditionalFormatting sqref="D19:D31">
    <cfRule type="containsText" dxfId="35" priority="23" operator="containsText" text="Not Applicable">
      <formula>NOT(ISERROR(SEARCH("Not Applicable",D19)))</formula>
    </cfRule>
  </conditionalFormatting>
  <conditionalFormatting sqref="D19:D31">
    <cfRule type="containsText" dxfId="34" priority="22" operator="containsText" text="Not Applicable">
      <formula>NOT(ISERROR(SEARCH("Not Applicable",D19)))</formula>
    </cfRule>
  </conditionalFormatting>
  <conditionalFormatting sqref="D19:D31">
    <cfRule type="containsText" dxfId="33" priority="21" operator="containsText" text="Not Applicable">
      <formula>NOT(ISERROR(SEARCH("Not Applicable",D19)))</formula>
    </cfRule>
  </conditionalFormatting>
  <conditionalFormatting sqref="D19:D31">
    <cfRule type="containsText" dxfId="32" priority="20" operator="containsText" text="Not Applicable">
      <formula>NOT(ISERROR(SEARCH("Not Applicable",D19)))</formula>
    </cfRule>
  </conditionalFormatting>
  <conditionalFormatting sqref="D19:D31">
    <cfRule type="containsText" dxfId="31" priority="19" operator="containsText" text="Not Applicable">
      <formula>NOT(ISERROR(SEARCH("Not Applicable",D19)))</formula>
    </cfRule>
  </conditionalFormatting>
  <conditionalFormatting sqref="D19:D31">
    <cfRule type="containsText" dxfId="30" priority="18" operator="containsText" text="Not Applicable">
      <formula>NOT(ISERROR(SEARCH("Not Applicable",D19)))</formula>
    </cfRule>
  </conditionalFormatting>
  <conditionalFormatting sqref="D33:D56">
    <cfRule type="containsText" dxfId="29" priority="17" operator="containsText" text="Not Applicable">
      <formula>NOT(ISERROR(SEARCH("Not Applicable",D33)))</formula>
    </cfRule>
  </conditionalFormatting>
  <conditionalFormatting sqref="D33:D56">
    <cfRule type="containsText" dxfId="28" priority="16" operator="containsText" text="Not Applicable">
      <formula>NOT(ISERROR(SEARCH("Not Applicable",D33)))</formula>
    </cfRule>
  </conditionalFormatting>
  <conditionalFormatting sqref="D33:D56">
    <cfRule type="containsText" dxfId="27" priority="15" operator="containsText" text="Not Applicable">
      <formula>NOT(ISERROR(SEARCH("Not Applicable",D33)))</formula>
    </cfRule>
  </conditionalFormatting>
  <conditionalFormatting sqref="D33:D56">
    <cfRule type="containsText" dxfId="26" priority="14" operator="containsText" text="Not Applicable">
      <formula>NOT(ISERROR(SEARCH("Not Applicable",D33)))</formula>
    </cfRule>
  </conditionalFormatting>
  <conditionalFormatting sqref="D33:D56">
    <cfRule type="containsText" dxfId="25" priority="13" operator="containsText" text="Not Applicable">
      <formula>NOT(ISERROR(SEARCH("Not Applicable",D33)))</formula>
    </cfRule>
  </conditionalFormatting>
  <conditionalFormatting sqref="D33:D56">
    <cfRule type="containsText" dxfId="24" priority="12" operator="containsText" text="Not Applicable">
      <formula>NOT(ISERROR(SEARCH("Not Applicable",D33)))</formula>
    </cfRule>
  </conditionalFormatting>
  <conditionalFormatting sqref="D33:D56">
    <cfRule type="containsText" dxfId="23" priority="11" operator="containsText" text="Not Applicable">
      <formula>NOT(ISERROR(SEARCH("Not Applicable",D33)))</formula>
    </cfRule>
  </conditionalFormatting>
  <conditionalFormatting sqref="D33:D56">
    <cfRule type="containsText" dxfId="22" priority="10" operator="containsText" text="Not Applicable">
      <formula>NOT(ISERROR(SEARCH("Not Applicable",D33)))</formula>
    </cfRule>
  </conditionalFormatting>
  <conditionalFormatting sqref="D33:D56">
    <cfRule type="containsText" dxfId="21" priority="9" operator="containsText" text="Not Applicable">
      <formula>NOT(ISERROR(SEARCH("Not Applicable",D33)))</formula>
    </cfRule>
  </conditionalFormatting>
  <conditionalFormatting sqref="D33:D56">
    <cfRule type="containsText" dxfId="20" priority="8" operator="containsText" text="Not Applicable">
      <formula>NOT(ISERROR(SEARCH("Not Applicable",D33)))</formula>
    </cfRule>
  </conditionalFormatting>
  <conditionalFormatting sqref="D33:D56">
    <cfRule type="containsText" dxfId="19" priority="7" operator="containsText" text="Not Applicable">
      <formula>NOT(ISERROR(SEARCH("Not Applicable",D33)))</formula>
    </cfRule>
  </conditionalFormatting>
  <conditionalFormatting sqref="D33:D56">
    <cfRule type="containsText" dxfId="18" priority="6" operator="containsText" text="Not Applicable">
      <formula>NOT(ISERROR(SEARCH("Not Applicable",D33)))</formula>
    </cfRule>
  </conditionalFormatting>
  <conditionalFormatting sqref="D33:D56">
    <cfRule type="containsText" dxfId="17" priority="5" operator="containsText" text="Not Applicable">
      <formula>NOT(ISERROR(SEARCH("Not Applicable",D33)))</formula>
    </cfRule>
  </conditionalFormatting>
  <conditionalFormatting sqref="D33:D56">
    <cfRule type="containsText" dxfId="16" priority="4" operator="containsText" text="Not Applicable">
      <formula>NOT(ISERROR(SEARCH("Not Applicable",D33)))</formula>
    </cfRule>
  </conditionalFormatting>
  <conditionalFormatting sqref="D33:D56">
    <cfRule type="containsText" dxfId="15" priority="3" operator="containsText" text="Not Applicable">
      <formula>NOT(ISERROR(SEARCH("Not Applicable",D33)))</formula>
    </cfRule>
  </conditionalFormatting>
  <conditionalFormatting sqref="D33:D56">
    <cfRule type="containsText" dxfId="14" priority="2" operator="containsText" text="Not Applicable">
      <formula>NOT(ISERROR(SEARCH("Not Applicable",D33)))</formula>
    </cfRule>
  </conditionalFormatting>
  <conditionalFormatting sqref="D33:D56">
    <cfRule type="containsText" dxfId="13" priority="1" operator="containsText" text="Not Applicable">
      <formula>NOT(ISERROR(SEARCH("Not Applicable",D33)))</formula>
    </cfRule>
  </conditionalFormatting>
  <dataValidations count="1">
    <dataValidation type="list" allowBlank="1" showInputMessage="1" showErrorMessage="1" sqref="D58:D85 D19:D31 D4:D17 E137:F137 D106:D137 D87:D104 D33:D56" xr:uid="{E7D4E2DD-32DA-4D67-81F2-E7BDDC50C6E8}">
      <formula1>"Pass, Fail, Risk Noted, Not Applicable"</formula1>
    </dataValidation>
  </dataValidations>
  <hyperlinks>
    <hyperlink ref="G2" location="Index!A1" display="Click For Index" xr:uid="{E3B3A8E7-C21D-4F1E-B139-40759C21A6D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2.ClearCell">
                <anchor moveWithCells="1" sizeWithCells="1">
                  <from>
                    <xdr:col>6</xdr:col>
                    <xdr:colOff>0</xdr:colOff>
                    <xdr:row>2</xdr:row>
                    <xdr:rowOff>0</xdr:rowOff>
                  </from>
                  <to>
                    <xdr:col>7</xdr:col>
                    <xdr:colOff>0</xdr:colOff>
                    <xdr:row>4</xdr:row>
                    <xdr:rowOff>0</xdr:rowOff>
                  </to>
                </anchor>
              </controlPr>
            </control>
          </mc:Choice>
        </mc:AlternateContent>
        <mc:AlternateContent xmlns:mc="http://schemas.openxmlformats.org/markup-compatibility/2006">
          <mc:Choice Requires="x14">
            <control shapeId="2056" r:id="rId5" name="Button 8">
              <controlPr defaultSize="0" print="0" autoFill="0" autoPict="0" macro="[0]!Module3.ClearCell">
                <anchor moveWithCells="1" sizeWithCells="1">
                  <from>
                    <xdr:col>6</xdr:col>
                    <xdr:colOff>0</xdr:colOff>
                    <xdr:row>17</xdr:row>
                    <xdr:rowOff>0</xdr:rowOff>
                  </from>
                  <to>
                    <xdr:col>7</xdr:col>
                    <xdr:colOff>12700</xdr:colOff>
                    <xdr:row>19</xdr:row>
                    <xdr:rowOff>12700</xdr:rowOff>
                  </to>
                </anchor>
              </controlPr>
            </control>
          </mc:Choice>
        </mc:AlternateContent>
        <mc:AlternateContent xmlns:mc="http://schemas.openxmlformats.org/markup-compatibility/2006">
          <mc:Choice Requires="x14">
            <control shapeId="2057" r:id="rId6" name="Button 9">
              <controlPr defaultSize="0" print="0" autoFill="0" autoPict="0" macro="[0]!Module4.ClearCell">
                <anchor moveWithCells="1" sizeWithCells="1">
                  <from>
                    <xdr:col>6</xdr:col>
                    <xdr:colOff>0</xdr:colOff>
                    <xdr:row>31</xdr:row>
                    <xdr:rowOff>0</xdr:rowOff>
                  </from>
                  <to>
                    <xdr:col>7</xdr:col>
                    <xdr:colOff>12700</xdr:colOff>
                    <xdr:row>33</xdr:row>
                    <xdr:rowOff>12700</xdr:rowOff>
                  </to>
                </anchor>
              </controlPr>
            </control>
          </mc:Choice>
        </mc:AlternateContent>
        <mc:AlternateContent xmlns:mc="http://schemas.openxmlformats.org/markup-compatibility/2006">
          <mc:Choice Requires="x14">
            <control shapeId="2058" r:id="rId7" name="Button 10">
              <controlPr defaultSize="0" print="0" autoFill="0" autoPict="0" macro="[0]!Module5.ClearCell">
                <anchor moveWithCells="1" sizeWithCells="1">
                  <from>
                    <xdr:col>6</xdr:col>
                    <xdr:colOff>0</xdr:colOff>
                    <xdr:row>56</xdr:row>
                    <xdr:rowOff>0</xdr:rowOff>
                  </from>
                  <to>
                    <xdr:col>7</xdr:col>
                    <xdr:colOff>12700</xdr:colOff>
                    <xdr:row>58</xdr:row>
                    <xdr:rowOff>12700</xdr:rowOff>
                  </to>
                </anchor>
              </controlPr>
            </control>
          </mc:Choice>
        </mc:AlternateContent>
        <mc:AlternateContent xmlns:mc="http://schemas.openxmlformats.org/markup-compatibility/2006">
          <mc:Choice Requires="x14">
            <control shapeId="2060" r:id="rId8" name="Button 12">
              <controlPr defaultSize="0" print="0" autoFill="0" autoPict="0" macro="[0]!Module6.ClearCell">
                <anchor moveWithCells="1" sizeWithCells="1">
                  <from>
                    <xdr:col>6</xdr:col>
                    <xdr:colOff>0</xdr:colOff>
                    <xdr:row>85</xdr:row>
                    <xdr:rowOff>0</xdr:rowOff>
                  </from>
                  <to>
                    <xdr:col>7</xdr:col>
                    <xdr:colOff>12700</xdr:colOff>
                    <xdr:row>87</xdr:row>
                    <xdr:rowOff>12700</xdr:rowOff>
                  </to>
                </anchor>
              </controlPr>
            </control>
          </mc:Choice>
        </mc:AlternateContent>
        <mc:AlternateContent xmlns:mc="http://schemas.openxmlformats.org/markup-compatibility/2006">
          <mc:Choice Requires="x14">
            <control shapeId="2061" r:id="rId9" name="Button 13">
              <controlPr defaultSize="0" print="0" autoFill="0" autoPict="0" macro="[0]!Module7.ClearCell">
                <anchor moveWithCells="1" sizeWithCells="1">
                  <from>
                    <xdr:col>6</xdr:col>
                    <xdr:colOff>0</xdr:colOff>
                    <xdr:row>104</xdr:row>
                    <xdr:rowOff>0</xdr:rowOff>
                  </from>
                  <to>
                    <xdr:col>7</xdr:col>
                    <xdr:colOff>12700</xdr:colOff>
                    <xdr:row>106</xdr:row>
                    <xdr:rowOff>12700</xdr:rowOff>
                  </to>
                </anchor>
              </controlPr>
            </control>
          </mc:Choice>
        </mc:AlternateContent>
        <mc:AlternateContent xmlns:mc="http://schemas.openxmlformats.org/markup-compatibility/2006">
          <mc:Choice Requires="x14">
            <control shapeId="2110" r:id="rId10" name="Button 62">
              <controlPr defaultSize="0" print="0" autoFill="0" autoPict="0" macro="[0]!ProcessChecklistAndCopyToScore">
                <anchor moveWithCells="1" sizeWithCells="1">
                  <from>
                    <xdr:col>2</xdr:col>
                    <xdr:colOff>8229600</xdr:colOff>
                    <xdr:row>135</xdr:row>
                    <xdr:rowOff>0</xdr:rowOff>
                  </from>
                  <to>
                    <xdr:col>3</xdr:col>
                    <xdr:colOff>1257300</xdr:colOff>
                    <xdr:row>136</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C5948-275E-1B48-BE61-D5D27C05FEA8}">
  <dimension ref="A1:C127"/>
  <sheetViews>
    <sheetView topLeftCell="A86" workbookViewId="0">
      <selection activeCell="C99" sqref="C99:C127"/>
    </sheetView>
  </sheetViews>
  <sheetFormatPr baseColWidth="10" defaultRowHeight="15" x14ac:dyDescent="0.2"/>
  <cols>
    <col min="2" max="2" width="44.33203125" customWidth="1"/>
  </cols>
  <sheetData>
    <row r="1" spans="1:3" x14ac:dyDescent="0.2">
      <c r="A1" s="147" t="s">
        <v>17</v>
      </c>
      <c r="B1" s="147" t="s">
        <v>560</v>
      </c>
      <c r="C1" s="147" t="s">
        <v>561</v>
      </c>
    </row>
    <row r="2" spans="1:3" x14ac:dyDescent="0.2">
      <c r="A2">
        <v>1</v>
      </c>
      <c r="B2" t="s">
        <v>40</v>
      </c>
      <c r="C2" s="147" t="s">
        <v>562</v>
      </c>
    </row>
    <row r="3" spans="1:3" x14ac:dyDescent="0.2">
      <c r="A3">
        <v>2</v>
      </c>
      <c r="B3" t="s">
        <v>41</v>
      </c>
      <c r="C3" s="147" t="s">
        <v>563</v>
      </c>
    </row>
    <row r="4" spans="1:3" x14ac:dyDescent="0.2">
      <c r="A4">
        <v>3</v>
      </c>
      <c r="B4" t="s">
        <v>42</v>
      </c>
      <c r="C4" s="147" t="s">
        <v>564</v>
      </c>
    </row>
    <row r="5" spans="1:3" x14ac:dyDescent="0.2">
      <c r="A5">
        <v>4</v>
      </c>
      <c r="B5" t="s">
        <v>43</v>
      </c>
      <c r="C5" s="147" t="s">
        <v>565</v>
      </c>
    </row>
    <row r="6" spans="1:3" x14ac:dyDescent="0.2">
      <c r="A6">
        <v>5</v>
      </c>
      <c r="B6" t="s">
        <v>566</v>
      </c>
      <c r="C6" s="147" t="s">
        <v>567</v>
      </c>
    </row>
    <row r="7" spans="1:3" x14ac:dyDescent="0.2">
      <c r="A7">
        <v>6</v>
      </c>
      <c r="B7" t="s">
        <v>45</v>
      </c>
      <c r="C7" s="147" t="s">
        <v>568</v>
      </c>
    </row>
    <row r="8" spans="1:3" x14ac:dyDescent="0.2">
      <c r="A8">
        <v>7</v>
      </c>
      <c r="B8" t="s">
        <v>46</v>
      </c>
      <c r="C8" s="147" t="s">
        <v>569</v>
      </c>
    </row>
    <row r="9" spans="1:3" x14ac:dyDescent="0.2">
      <c r="A9">
        <v>8</v>
      </c>
      <c r="B9" t="s">
        <v>47</v>
      </c>
      <c r="C9" s="147" t="s">
        <v>570</v>
      </c>
    </row>
    <row r="10" spans="1:3" x14ac:dyDescent="0.2">
      <c r="A10">
        <v>9</v>
      </c>
      <c r="B10" t="s">
        <v>48</v>
      </c>
      <c r="C10" s="147" t="s">
        <v>571</v>
      </c>
    </row>
    <row r="11" spans="1:3" x14ac:dyDescent="0.2">
      <c r="A11">
        <v>10</v>
      </c>
      <c r="B11" t="s">
        <v>572</v>
      </c>
      <c r="C11" s="147" t="s">
        <v>573</v>
      </c>
    </row>
    <row r="12" spans="1:3" x14ac:dyDescent="0.2">
      <c r="A12">
        <v>11</v>
      </c>
      <c r="B12" t="s">
        <v>50</v>
      </c>
      <c r="C12" s="147" t="s">
        <v>574</v>
      </c>
    </row>
    <row r="13" spans="1:3" x14ac:dyDescent="0.2">
      <c r="A13">
        <v>12</v>
      </c>
      <c r="B13" t="s">
        <v>51</v>
      </c>
      <c r="C13" s="147" t="s">
        <v>575</v>
      </c>
    </row>
    <row r="14" spans="1:3" x14ac:dyDescent="0.2">
      <c r="A14">
        <v>13</v>
      </c>
      <c r="B14" t="s">
        <v>576</v>
      </c>
      <c r="C14" s="147" t="s">
        <v>577</v>
      </c>
    </row>
    <row r="15" spans="1:3" x14ac:dyDescent="0.2">
      <c r="A15">
        <v>14</v>
      </c>
      <c r="B15" t="s">
        <v>53</v>
      </c>
      <c r="C15" s="147" t="s">
        <v>578</v>
      </c>
    </row>
    <row r="16" spans="1:3" x14ac:dyDescent="0.2">
      <c r="A16">
        <v>15</v>
      </c>
      <c r="B16" t="s">
        <v>55</v>
      </c>
      <c r="C16" s="147" t="s">
        <v>579</v>
      </c>
    </row>
    <row r="17" spans="1:3" x14ac:dyDescent="0.2">
      <c r="A17">
        <v>16</v>
      </c>
      <c r="B17" t="s">
        <v>56</v>
      </c>
      <c r="C17" s="147" t="s">
        <v>580</v>
      </c>
    </row>
    <row r="18" spans="1:3" x14ac:dyDescent="0.2">
      <c r="A18">
        <v>17</v>
      </c>
      <c r="B18" t="s">
        <v>57</v>
      </c>
      <c r="C18" s="147" t="s">
        <v>581</v>
      </c>
    </row>
    <row r="19" spans="1:3" x14ac:dyDescent="0.2">
      <c r="A19">
        <v>18</v>
      </c>
      <c r="B19" t="s">
        <v>58</v>
      </c>
      <c r="C19" s="147" t="s">
        <v>582</v>
      </c>
    </row>
    <row r="20" spans="1:3" x14ac:dyDescent="0.2">
      <c r="A20">
        <v>19</v>
      </c>
      <c r="B20" t="s">
        <v>59</v>
      </c>
      <c r="C20" s="147" t="s">
        <v>583</v>
      </c>
    </row>
    <row r="21" spans="1:3" x14ac:dyDescent="0.2">
      <c r="A21">
        <v>20</v>
      </c>
      <c r="B21" t="s">
        <v>584</v>
      </c>
      <c r="C21" s="147" t="s">
        <v>585</v>
      </c>
    </row>
    <row r="22" spans="1:3" x14ac:dyDescent="0.2">
      <c r="A22">
        <v>21</v>
      </c>
      <c r="B22" t="s">
        <v>586</v>
      </c>
      <c r="C22" s="147" t="s">
        <v>587</v>
      </c>
    </row>
    <row r="23" spans="1:3" x14ac:dyDescent="0.2">
      <c r="A23">
        <v>22</v>
      </c>
      <c r="B23" t="s">
        <v>62</v>
      </c>
      <c r="C23" s="147" t="s">
        <v>588</v>
      </c>
    </row>
    <row r="24" spans="1:3" x14ac:dyDescent="0.2">
      <c r="A24">
        <v>23</v>
      </c>
      <c r="B24" t="s">
        <v>63</v>
      </c>
      <c r="C24" s="147" t="s">
        <v>589</v>
      </c>
    </row>
    <row r="25" spans="1:3" x14ac:dyDescent="0.2">
      <c r="A25">
        <v>24</v>
      </c>
      <c r="B25" t="s">
        <v>590</v>
      </c>
      <c r="C25" s="147" t="s">
        <v>591</v>
      </c>
    </row>
    <row r="26" spans="1:3" x14ac:dyDescent="0.2">
      <c r="A26">
        <v>25</v>
      </c>
      <c r="B26" t="s">
        <v>65</v>
      </c>
      <c r="C26" s="147" t="s">
        <v>592</v>
      </c>
    </row>
    <row r="27" spans="1:3" x14ac:dyDescent="0.2">
      <c r="A27">
        <v>26</v>
      </c>
      <c r="B27" t="s">
        <v>66</v>
      </c>
      <c r="C27" s="147" t="s">
        <v>593</v>
      </c>
    </row>
    <row r="28" spans="1:3" x14ac:dyDescent="0.2">
      <c r="A28">
        <v>27</v>
      </c>
      <c r="B28" t="s">
        <v>67</v>
      </c>
      <c r="C28" s="147" t="s">
        <v>594</v>
      </c>
    </row>
    <row r="29" spans="1:3" x14ac:dyDescent="0.2">
      <c r="A29">
        <v>28</v>
      </c>
      <c r="B29" t="s">
        <v>69</v>
      </c>
      <c r="C29" s="147" t="s">
        <v>595</v>
      </c>
    </row>
    <row r="30" spans="1:3" x14ac:dyDescent="0.2">
      <c r="A30">
        <v>29</v>
      </c>
      <c r="B30" t="s">
        <v>70</v>
      </c>
      <c r="C30" s="147" t="s">
        <v>596</v>
      </c>
    </row>
    <row r="31" spans="1:3" x14ac:dyDescent="0.2">
      <c r="A31">
        <v>30</v>
      </c>
      <c r="B31" t="s">
        <v>71</v>
      </c>
      <c r="C31" s="147" t="s">
        <v>597</v>
      </c>
    </row>
    <row r="32" spans="1:3" x14ac:dyDescent="0.2">
      <c r="A32">
        <v>31</v>
      </c>
      <c r="B32" t="s">
        <v>72</v>
      </c>
      <c r="C32" s="147" t="s">
        <v>598</v>
      </c>
    </row>
    <row r="33" spans="1:3" x14ac:dyDescent="0.2">
      <c r="A33">
        <v>32</v>
      </c>
      <c r="B33" t="s">
        <v>599</v>
      </c>
      <c r="C33" s="147" t="s">
        <v>600</v>
      </c>
    </row>
    <row r="34" spans="1:3" x14ac:dyDescent="0.2">
      <c r="A34">
        <v>33</v>
      </c>
      <c r="B34" t="s">
        <v>74</v>
      </c>
      <c r="C34" s="147" t="s">
        <v>601</v>
      </c>
    </row>
    <row r="35" spans="1:3" x14ac:dyDescent="0.2">
      <c r="A35">
        <v>34</v>
      </c>
      <c r="B35" t="s">
        <v>75</v>
      </c>
      <c r="C35" s="147" t="s">
        <v>602</v>
      </c>
    </row>
    <row r="36" spans="1:3" x14ac:dyDescent="0.2">
      <c r="A36">
        <v>35</v>
      </c>
      <c r="B36" t="s">
        <v>76</v>
      </c>
      <c r="C36" s="147" t="s">
        <v>603</v>
      </c>
    </row>
    <row r="37" spans="1:3" x14ac:dyDescent="0.2">
      <c r="A37">
        <v>36</v>
      </c>
      <c r="B37" t="s">
        <v>77</v>
      </c>
      <c r="C37" s="147" t="s">
        <v>604</v>
      </c>
    </row>
    <row r="38" spans="1:3" x14ac:dyDescent="0.2">
      <c r="A38">
        <v>37</v>
      </c>
      <c r="B38" t="s">
        <v>78</v>
      </c>
      <c r="C38" s="147" t="s">
        <v>605</v>
      </c>
    </row>
    <row r="39" spans="1:3" x14ac:dyDescent="0.2">
      <c r="A39">
        <v>38</v>
      </c>
      <c r="B39" t="s">
        <v>79</v>
      </c>
      <c r="C39" s="147" t="s">
        <v>606</v>
      </c>
    </row>
    <row r="40" spans="1:3" x14ac:dyDescent="0.2">
      <c r="A40">
        <v>39</v>
      </c>
      <c r="B40" t="s">
        <v>80</v>
      </c>
      <c r="C40" s="147" t="s">
        <v>607</v>
      </c>
    </row>
    <row r="41" spans="1:3" x14ac:dyDescent="0.2">
      <c r="A41">
        <v>40</v>
      </c>
      <c r="B41" t="s">
        <v>81</v>
      </c>
      <c r="C41" s="147" t="s">
        <v>608</v>
      </c>
    </row>
    <row r="42" spans="1:3" x14ac:dyDescent="0.2">
      <c r="A42">
        <v>41</v>
      </c>
      <c r="B42" t="s">
        <v>82</v>
      </c>
      <c r="C42" s="147" t="s">
        <v>609</v>
      </c>
    </row>
    <row r="43" spans="1:3" x14ac:dyDescent="0.2">
      <c r="A43">
        <v>42</v>
      </c>
      <c r="B43" t="s">
        <v>83</v>
      </c>
      <c r="C43" s="147" t="s">
        <v>610</v>
      </c>
    </row>
    <row r="44" spans="1:3" x14ac:dyDescent="0.2">
      <c r="A44">
        <v>43</v>
      </c>
      <c r="B44" t="s">
        <v>84</v>
      </c>
      <c r="C44" s="147" t="s">
        <v>611</v>
      </c>
    </row>
    <row r="45" spans="1:3" x14ac:dyDescent="0.2">
      <c r="A45">
        <v>44</v>
      </c>
      <c r="B45" t="s">
        <v>85</v>
      </c>
      <c r="C45" s="147" t="s">
        <v>612</v>
      </c>
    </row>
    <row r="46" spans="1:3" x14ac:dyDescent="0.2">
      <c r="A46">
        <v>45</v>
      </c>
      <c r="B46" t="s">
        <v>86</v>
      </c>
      <c r="C46" s="147" t="s">
        <v>613</v>
      </c>
    </row>
    <row r="47" spans="1:3" x14ac:dyDescent="0.2">
      <c r="A47">
        <v>46</v>
      </c>
      <c r="B47" t="s">
        <v>87</v>
      </c>
      <c r="C47" s="147" t="s">
        <v>614</v>
      </c>
    </row>
    <row r="48" spans="1:3" x14ac:dyDescent="0.2">
      <c r="A48">
        <v>47</v>
      </c>
      <c r="B48" t="s">
        <v>88</v>
      </c>
      <c r="C48" s="147" t="s">
        <v>615</v>
      </c>
    </row>
    <row r="49" spans="1:3" x14ac:dyDescent="0.2">
      <c r="A49">
        <v>48</v>
      </c>
      <c r="B49" t="s">
        <v>89</v>
      </c>
      <c r="C49" s="147" t="s">
        <v>616</v>
      </c>
    </row>
    <row r="50" spans="1:3" x14ac:dyDescent="0.2">
      <c r="A50">
        <v>49</v>
      </c>
      <c r="B50" t="s">
        <v>90</v>
      </c>
      <c r="C50" s="147" t="s">
        <v>617</v>
      </c>
    </row>
    <row r="51" spans="1:3" x14ac:dyDescent="0.2">
      <c r="A51">
        <v>50</v>
      </c>
      <c r="B51" t="s">
        <v>91</v>
      </c>
      <c r="C51" s="147" t="s">
        <v>618</v>
      </c>
    </row>
    <row r="52" spans="1:3" x14ac:dyDescent="0.2">
      <c r="A52">
        <v>51</v>
      </c>
      <c r="B52" t="s">
        <v>92</v>
      </c>
      <c r="C52" s="147" t="s">
        <v>619</v>
      </c>
    </row>
    <row r="53" spans="1:3" x14ac:dyDescent="0.2">
      <c r="A53">
        <v>52</v>
      </c>
      <c r="B53" t="s">
        <v>620</v>
      </c>
      <c r="C53" s="147" t="s">
        <v>621</v>
      </c>
    </row>
    <row r="54" spans="1:3" x14ac:dyDescent="0.2">
      <c r="A54">
        <v>53</v>
      </c>
      <c r="B54" t="s">
        <v>95</v>
      </c>
      <c r="C54" s="147" t="s">
        <v>622</v>
      </c>
    </row>
    <row r="55" spans="1:3" x14ac:dyDescent="0.2">
      <c r="A55">
        <v>54</v>
      </c>
      <c r="B55" t="s">
        <v>96</v>
      </c>
      <c r="C55" s="147" t="s">
        <v>623</v>
      </c>
    </row>
    <row r="56" spans="1:3" x14ac:dyDescent="0.2">
      <c r="A56">
        <v>55</v>
      </c>
      <c r="B56" t="s">
        <v>97</v>
      </c>
      <c r="C56" s="147" t="s">
        <v>624</v>
      </c>
    </row>
    <row r="57" spans="1:3" x14ac:dyDescent="0.2">
      <c r="A57">
        <v>56</v>
      </c>
      <c r="B57" t="s">
        <v>98</v>
      </c>
      <c r="C57" s="147" t="s">
        <v>625</v>
      </c>
    </row>
    <row r="58" spans="1:3" x14ac:dyDescent="0.2">
      <c r="A58">
        <v>57</v>
      </c>
      <c r="B58" t="s">
        <v>626</v>
      </c>
      <c r="C58" s="147" t="s">
        <v>627</v>
      </c>
    </row>
    <row r="59" spans="1:3" x14ac:dyDescent="0.2">
      <c r="A59">
        <v>58</v>
      </c>
      <c r="B59" t="s">
        <v>100</v>
      </c>
      <c r="C59" s="147" t="s">
        <v>628</v>
      </c>
    </row>
    <row r="60" spans="1:3" x14ac:dyDescent="0.2">
      <c r="A60">
        <v>59</v>
      </c>
      <c r="B60" t="s">
        <v>101</v>
      </c>
      <c r="C60" s="147" t="s">
        <v>629</v>
      </c>
    </row>
    <row r="61" spans="1:3" x14ac:dyDescent="0.2">
      <c r="A61">
        <v>60</v>
      </c>
      <c r="B61" t="s">
        <v>102</v>
      </c>
      <c r="C61" s="147" t="s">
        <v>630</v>
      </c>
    </row>
    <row r="62" spans="1:3" x14ac:dyDescent="0.2">
      <c r="A62">
        <v>61</v>
      </c>
      <c r="B62" t="s">
        <v>103</v>
      </c>
      <c r="C62" s="147" t="s">
        <v>631</v>
      </c>
    </row>
    <row r="63" spans="1:3" x14ac:dyDescent="0.2">
      <c r="A63">
        <v>62</v>
      </c>
      <c r="B63" t="s">
        <v>632</v>
      </c>
      <c r="C63" s="147" t="s">
        <v>633</v>
      </c>
    </row>
    <row r="64" spans="1:3" x14ac:dyDescent="0.2">
      <c r="A64">
        <v>63</v>
      </c>
      <c r="B64" t="s">
        <v>634</v>
      </c>
      <c r="C64" s="147" t="s">
        <v>635</v>
      </c>
    </row>
    <row r="65" spans="1:3" x14ac:dyDescent="0.2">
      <c r="A65">
        <v>64</v>
      </c>
      <c r="B65" t="s">
        <v>106</v>
      </c>
      <c r="C65" s="147" t="s">
        <v>636</v>
      </c>
    </row>
    <row r="66" spans="1:3" x14ac:dyDescent="0.2">
      <c r="A66">
        <v>65</v>
      </c>
      <c r="B66" t="s">
        <v>107</v>
      </c>
      <c r="C66" s="147" t="s">
        <v>637</v>
      </c>
    </row>
    <row r="67" spans="1:3" x14ac:dyDescent="0.2">
      <c r="A67">
        <v>66</v>
      </c>
      <c r="B67" t="s">
        <v>108</v>
      </c>
      <c r="C67" s="147" t="s">
        <v>638</v>
      </c>
    </row>
    <row r="68" spans="1:3" x14ac:dyDescent="0.2">
      <c r="A68">
        <v>67</v>
      </c>
      <c r="B68" t="s">
        <v>109</v>
      </c>
      <c r="C68" s="147" t="s">
        <v>639</v>
      </c>
    </row>
    <row r="69" spans="1:3" x14ac:dyDescent="0.2">
      <c r="A69">
        <v>68</v>
      </c>
      <c r="B69" t="s">
        <v>110</v>
      </c>
      <c r="C69" s="147" t="s">
        <v>640</v>
      </c>
    </row>
    <row r="70" spans="1:3" x14ac:dyDescent="0.2">
      <c r="A70">
        <v>69</v>
      </c>
      <c r="B70" t="s">
        <v>111</v>
      </c>
      <c r="C70" s="147" t="s">
        <v>641</v>
      </c>
    </row>
    <row r="71" spans="1:3" x14ac:dyDescent="0.2">
      <c r="A71">
        <v>70</v>
      </c>
      <c r="B71" t="s">
        <v>112</v>
      </c>
      <c r="C71" s="147" t="s">
        <v>642</v>
      </c>
    </row>
    <row r="72" spans="1:3" x14ac:dyDescent="0.2">
      <c r="A72">
        <v>71</v>
      </c>
      <c r="B72" t="s">
        <v>113</v>
      </c>
      <c r="C72" s="147" t="s">
        <v>643</v>
      </c>
    </row>
    <row r="73" spans="1:3" x14ac:dyDescent="0.2">
      <c r="A73">
        <v>72</v>
      </c>
      <c r="B73" t="s">
        <v>114</v>
      </c>
      <c r="C73" s="147" t="s">
        <v>644</v>
      </c>
    </row>
    <row r="74" spans="1:3" x14ac:dyDescent="0.2">
      <c r="A74">
        <v>73</v>
      </c>
      <c r="B74" t="s">
        <v>115</v>
      </c>
      <c r="C74" s="147" t="s">
        <v>645</v>
      </c>
    </row>
    <row r="75" spans="1:3" x14ac:dyDescent="0.2">
      <c r="A75">
        <v>74</v>
      </c>
      <c r="B75" t="s">
        <v>116</v>
      </c>
      <c r="C75" s="147" t="s">
        <v>646</v>
      </c>
    </row>
    <row r="76" spans="1:3" x14ac:dyDescent="0.2">
      <c r="A76">
        <v>75</v>
      </c>
      <c r="B76" t="s">
        <v>117</v>
      </c>
      <c r="C76" s="147" t="s">
        <v>647</v>
      </c>
    </row>
    <row r="77" spans="1:3" x14ac:dyDescent="0.2">
      <c r="A77">
        <v>76</v>
      </c>
      <c r="B77" t="s">
        <v>118</v>
      </c>
      <c r="C77" s="147" t="s">
        <v>648</v>
      </c>
    </row>
    <row r="78" spans="1:3" x14ac:dyDescent="0.2">
      <c r="A78">
        <v>77</v>
      </c>
      <c r="B78" t="s">
        <v>119</v>
      </c>
      <c r="C78" s="147" t="s">
        <v>649</v>
      </c>
    </row>
    <row r="79" spans="1:3" x14ac:dyDescent="0.2">
      <c r="A79">
        <v>78</v>
      </c>
      <c r="B79" t="s">
        <v>120</v>
      </c>
      <c r="C79" s="147" t="s">
        <v>650</v>
      </c>
    </row>
    <row r="80" spans="1:3" x14ac:dyDescent="0.2">
      <c r="A80">
        <v>79</v>
      </c>
      <c r="B80" t="s">
        <v>121</v>
      </c>
      <c r="C80" s="147" t="s">
        <v>651</v>
      </c>
    </row>
    <row r="81" spans="1:3" x14ac:dyDescent="0.2">
      <c r="A81">
        <v>80</v>
      </c>
      <c r="B81" t="s">
        <v>123</v>
      </c>
      <c r="C81" s="147" t="s">
        <v>652</v>
      </c>
    </row>
    <row r="82" spans="1:3" x14ac:dyDescent="0.2">
      <c r="A82">
        <v>81</v>
      </c>
      <c r="B82" t="s">
        <v>124</v>
      </c>
      <c r="C82" s="147" t="s">
        <v>653</v>
      </c>
    </row>
    <row r="83" spans="1:3" x14ac:dyDescent="0.2">
      <c r="A83">
        <v>82</v>
      </c>
      <c r="B83" t="s">
        <v>125</v>
      </c>
      <c r="C83" s="147" t="s">
        <v>654</v>
      </c>
    </row>
    <row r="84" spans="1:3" x14ac:dyDescent="0.2">
      <c r="A84">
        <v>83</v>
      </c>
      <c r="B84" t="s">
        <v>126</v>
      </c>
      <c r="C84" s="147" t="s">
        <v>655</v>
      </c>
    </row>
    <row r="85" spans="1:3" x14ac:dyDescent="0.2">
      <c r="A85">
        <v>84</v>
      </c>
      <c r="B85" t="s">
        <v>127</v>
      </c>
      <c r="C85" s="147" t="s">
        <v>656</v>
      </c>
    </row>
    <row r="86" spans="1:3" x14ac:dyDescent="0.2">
      <c r="A86">
        <v>85</v>
      </c>
      <c r="B86" t="s">
        <v>128</v>
      </c>
      <c r="C86" s="147" t="s">
        <v>657</v>
      </c>
    </row>
    <row r="87" spans="1:3" x14ac:dyDescent="0.2">
      <c r="A87">
        <v>86</v>
      </c>
      <c r="B87" t="s">
        <v>129</v>
      </c>
      <c r="C87" s="147" t="s">
        <v>658</v>
      </c>
    </row>
    <row r="88" spans="1:3" x14ac:dyDescent="0.2">
      <c r="A88">
        <v>87</v>
      </c>
      <c r="B88" t="s">
        <v>130</v>
      </c>
      <c r="C88" s="147" t="s">
        <v>659</v>
      </c>
    </row>
    <row r="89" spans="1:3" x14ac:dyDescent="0.2">
      <c r="A89">
        <v>88</v>
      </c>
      <c r="B89" t="s">
        <v>131</v>
      </c>
      <c r="C89" s="147" t="s">
        <v>660</v>
      </c>
    </row>
    <row r="90" spans="1:3" x14ac:dyDescent="0.2">
      <c r="A90">
        <v>89</v>
      </c>
      <c r="B90" t="s">
        <v>132</v>
      </c>
      <c r="C90" s="147" t="s">
        <v>661</v>
      </c>
    </row>
    <row r="91" spans="1:3" x14ac:dyDescent="0.2">
      <c r="A91">
        <v>90</v>
      </c>
      <c r="B91" t="s">
        <v>133</v>
      </c>
      <c r="C91" s="147" t="s">
        <v>662</v>
      </c>
    </row>
    <row r="92" spans="1:3" x14ac:dyDescent="0.2">
      <c r="A92">
        <v>91</v>
      </c>
      <c r="B92" t="s">
        <v>134</v>
      </c>
      <c r="C92" s="147" t="s">
        <v>663</v>
      </c>
    </row>
    <row r="93" spans="1:3" x14ac:dyDescent="0.2">
      <c r="A93">
        <v>92</v>
      </c>
      <c r="B93" t="s">
        <v>135</v>
      </c>
      <c r="C93" s="147" t="s">
        <v>664</v>
      </c>
    </row>
    <row r="94" spans="1:3" x14ac:dyDescent="0.2">
      <c r="A94">
        <v>93</v>
      </c>
      <c r="B94" t="s">
        <v>136</v>
      </c>
      <c r="C94" s="147" t="s">
        <v>665</v>
      </c>
    </row>
    <row r="95" spans="1:3" x14ac:dyDescent="0.2">
      <c r="A95">
        <v>94</v>
      </c>
      <c r="B95" t="s">
        <v>137</v>
      </c>
      <c r="C95" s="147" t="s">
        <v>666</v>
      </c>
    </row>
    <row r="96" spans="1:3" x14ac:dyDescent="0.2">
      <c r="A96">
        <v>95</v>
      </c>
      <c r="B96" t="s">
        <v>138</v>
      </c>
      <c r="C96" s="147" t="s">
        <v>667</v>
      </c>
    </row>
    <row r="97" spans="1:3" x14ac:dyDescent="0.2">
      <c r="A97">
        <v>96</v>
      </c>
      <c r="B97" t="s">
        <v>139</v>
      </c>
      <c r="C97" s="147" t="s">
        <v>668</v>
      </c>
    </row>
    <row r="98" spans="1:3" x14ac:dyDescent="0.2">
      <c r="A98">
        <v>97</v>
      </c>
      <c r="B98" t="s">
        <v>140</v>
      </c>
      <c r="C98" s="147" t="s">
        <v>669</v>
      </c>
    </row>
    <row r="99" spans="1:3" x14ac:dyDescent="0.2">
      <c r="A99">
        <v>98</v>
      </c>
      <c r="B99" t="s">
        <v>142</v>
      </c>
      <c r="C99" s="147" t="s">
        <v>670</v>
      </c>
    </row>
    <row r="100" spans="1:3" x14ac:dyDescent="0.2">
      <c r="A100">
        <v>99</v>
      </c>
      <c r="B100" t="s">
        <v>671</v>
      </c>
      <c r="C100" s="147" t="s">
        <v>672</v>
      </c>
    </row>
    <row r="101" spans="1:3" x14ac:dyDescent="0.2">
      <c r="A101">
        <v>100</v>
      </c>
      <c r="B101" t="s">
        <v>144</v>
      </c>
      <c r="C101" s="147" t="s">
        <v>673</v>
      </c>
    </row>
    <row r="102" spans="1:3" x14ac:dyDescent="0.2">
      <c r="A102">
        <v>101</v>
      </c>
      <c r="B102" t="s">
        <v>145</v>
      </c>
      <c r="C102" s="147" t="s">
        <v>674</v>
      </c>
    </row>
    <row r="103" spans="1:3" x14ac:dyDescent="0.2">
      <c r="A103">
        <v>102</v>
      </c>
      <c r="B103" t="s">
        <v>146</v>
      </c>
      <c r="C103" s="147" t="s">
        <v>675</v>
      </c>
    </row>
    <row r="104" spans="1:3" x14ac:dyDescent="0.2">
      <c r="A104">
        <v>103</v>
      </c>
      <c r="B104" t="s">
        <v>147</v>
      </c>
      <c r="C104" s="147" t="s">
        <v>676</v>
      </c>
    </row>
    <row r="105" spans="1:3" x14ac:dyDescent="0.2">
      <c r="A105">
        <v>104</v>
      </c>
      <c r="B105" t="s">
        <v>148</v>
      </c>
      <c r="C105" s="147" t="s">
        <v>677</v>
      </c>
    </row>
    <row r="106" spans="1:3" x14ac:dyDescent="0.2">
      <c r="A106">
        <v>105</v>
      </c>
      <c r="B106" t="s">
        <v>149</v>
      </c>
      <c r="C106" s="147" t="s">
        <v>678</v>
      </c>
    </row>
    <row r="107" spans="1:3" x14ac:dyDescent="0.2">
      <c r="A107">
        <v>106</v>
      </c>
      <c r="B107" t="s">
        <v>150</v>
      </c>
      <c r="C107" s="147" t="s">
        <v>679</v>
      </c>
    </row>
    <row r="108" spans="1:3" x14ac:dyDescent="0.2">
      <c r="A108">
        <v>107</v>
      </c>
      <c r="B108" t="s">
        <v>151</v>
      </c>
      <c r="C108" s="147" t="s">
        <v>680</v>
      </c>
    </row>
    <row r="109" spans="1:3" x14ac:dyDescent="0.2">
      <c r="A109">
        <v>108</v>
      </c>
      <c r="B109" t="s">
        <v>152</v>
      </c>
      <c r="C109" s="147" t="s">
        <v>681</v>
      </c>
    </row>
    <row r="110" spans="1:3" x14ac:dyDescent="0.2">
      <c r="A110">
        <v>109</v>
      </c>
      <c r="B110" t="s">
        <v>153</v>
      </c>
      <c r="C110" s="147" t="s">
        <v>682</v>
      </c>
    </row>
    <row r="111" spans="1:3" x14ac:dyDescent="0.2">
      <c r="A111">
        <v>110</v>
      </c>
      <c r="B111" t="s">
        <v>154</v>
      </c>
      <c r="C111" s="147" t="s">
        <v>683</v>
      </c>
    </row>
    <row r="112" spans="1:3" x14ac:dyDescent="0.2">
      <c r="A112">
        <v>111</v>
      </c>
      <c r="B112" t="s">
        <v>155</v>
      </c>
      <c r="C112" s="147" t="s">
        <v>684</v>
      </c>
    </row>
    <row r="113" spans="1:3" x14ac:dyDescent="0.2">
      <c r="A113">
        <v>112</v>
      </c>
      <c r="B113" t="s">
        <v>156</v>
      </c>
      <c r="C113" s="147" t="s">
        <v>685</v>
      </c>
    </row>
    <row r="114" spans="1:3" x14ac:dyDescent="0.2">
      <c r="A114">
        <v>113</v>
      </c>
      <c r="B114" t="s">
        <v>157</v>
      </c>
      <c r="C114" s="147" t="s">
        <v>686</v>
      </c>
    </row>
    <row r="115" spans="1:3" x14ac:dyDescent="0.2">
      <c r="A115">
        <v>114</v>
      </c>
      <c r="B115" t="s">
        <v>158</v>
      </c>
      <c r="C115" s="147" t="s">
        <v>687</v>
      </c>
    </row>
    <row r="116" spans="1:3" x14ac:dyDescent="0.2">
      <c r="A116">
        <v>115</v>
      </c>
      <c r="B116" t="s">
        <v>159</v>
      </c>
      <c r="C116" s="147" t="s">
        <v>688</v>
      </c>
    </row>
    <row r="117" spans="1:3" x14ac:dyDescent="0.2">
      <c r="A117">
        <v>116</v>
      </c>
      <c r="B117" t="s">
        <v>160</v>
      </c>
      <c r="C117" s="147" t="s">
        <v>689</v>
      </c>
    </row>
    <row r="118" spans="1:3" x14ac:dyDescent="0.2">
      <c r="A118">
        <v>117</v>
      </c>
      <c r="B118" t="s">
        <v>161</v>
      </c>
      <c r="C118" s="147" t="s">
        <v>690</v>
      </c>
    </row>
    <row r="119" spans="1:3" x14ac:dyDescent="0.2">
      <c r="A119">
        <v>118</v>
      </c>
      <c r="B119" t="s">
        <v>162</v>
      </c>
      <c r="C119" s="147" t="s">
        <v>691</v>
      </c>
    </row>
    <row r="120" spans="1:3" x14ac:dyDescent="0.2">
      <c r="A120">
        <v>119</v>
      </c>
      <c r="B120" t="s">
        <v>163</v>
      </c>
      <c r="C120" s="147" t="s">
        <v>692</v>
      </c>
    </row>
    <row r="121" spans="1:3" x14ac:dyDescent="0.2">
      <c r="A121">
        <v>120</v>
      </c>
      <c r="B121" t="s">
        <v>164</v>
      </c>
      <c r="C121" s="147" t="s">
        <v>693</v>
      </c>
    </row>
    <row r="122" spans="1:3" x14ac:dyDescent="0.2">
      <c r="A122">
        <v>121</v>
      </c>
      <c r="B122" t="s">
        <v>165</v>
      </c>
      <c r="C122" s="147" t="s">
        <v>694</v>
      </c>
    </row>
    <row r="123" spans="1:3" x14ac:dyDescent="0.2">
      <c r="A123">
        <v>122</v>
      </c>
      <c r="B123" t="s">
        <v>166</v>
      </c>
      <c r="C123" s="147" t="s">
        <v>695</v>
      </c>
    </row>
    <row r="124" spans="1:3" x14ac:dyDescent="0.2">
      <c r="A124">
        <v>123</v>
      </c>
      <c r="B124" t="s">
        <v>167</v>
      </c>
      <c r="C124" s="147" t="s">
        <v>696</v>
      </c>
    </row>
    <row r="125" spans="1:3" x14ac:dyDescent="0.2">
      <c r="A125">
        <v>124</v>
      </c>
      <c r="B125" t="s">
        <v>168</v>
      </c>
      <c r="C125" s="147" t="s">
        <v>697</v>
      </c>
    </row>
    <row r="126" spans="1:3" x14ac:dyDescent="0.2">
      <c r="A126">
        <v>125</v>
      </c>
      <c r="B126" t="s">
        <v>169</v>
      </c>
      <c r="C126" s="147" t="s">
        <v>698</v>
      </c>
    </row>
    <row r="127" spans="1:3" x14ac:dyDescent="0.2">
      <c r="A127">
        <v>126</v>
      </c>
      <c r="B127" t="s">
        <v>699</v>
      </c>
      <c r="C127" s="147" t="s">
        <v>700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4F2D-5BF2-4765-BFB1-A4C1A59B705F}">
  <sheetPr codeName="Sheet9"/>
  <dimension ref="A1:I134"/>
  <sheetViews>
    <sheetView zoomScale="70" zoomScaleNormal="70" workbookViewId="0">
      <selection activeCell="E19" sqref="E19"/>
    </sheetView>
  </sheetViews>
  <sheetFormatPr baseColWidth="10" defaultColWidth="32.1640625" defaultRowHeight="12.5" customHeight="1" x14ac:dyDescent="0.2"/>
  <cols>
    <col min="1" max="1" width="1.83203125" customWidth="1"/>
    <col min="2" max="2" width="6.1640625" bestFit="1" customWidth="1"/>
    <col min="3" max="3" width="17.5" bestFit="1" customWidth="1"/>
    <col min="4" max="4" width="10" bestFit="1" customWidth="1"/>
    <col min="5" max="5" width="20.5" bestFit="1" customWidth="1"/>
    <col min="6" max="6" width="20.5" customWidth="1"/>
    <col min="7" max="7" width="16.83203125" bestFit="1" customWidth="1"/>
  </cols>
  <sheetData>
    <row r="1" spans="1:9" ht="10" customHeight="1" thickBot="1" x14ac:dyDescent="0.25">
      <c r="A1" s="48"/>
      <c r="B1" s="58"/>
      <c r="C1" s="48"/>
    </row>
    <row r="2" spans="1:9" ht="12.5" customHeight="1" x14ac:dyDescent="0.2">
      <c r="A2" s="48"/>
      <c r="B2" s="49" t="s">
        <v>35</v>
      </c>
      <c r="C2" s="51" t="s">
        <v>38</v>
      </c>
      <c r="E2" t="s">
        <v>171</v>
      </c>
      <c r="F2" t="s">
        <v>171</v>
      </c>
      <c r="G2" t="s">
        <v>172</v>
      </c>
      <c r="H2" t="s">
        <v>173</v>
      </c>
      <c r="I2" t="s">
        <v>174</v>
      </c>
    </row>
    <row r="3" spans="1:9" ht="12.5" customHeight="1" x14ac:dyDescent="0.2">
      <c r="A3" s="11"/>
      <c r="B3" s="129" t="s">
        <v>39</v>
      </c>
      <c r="C3" s="131"/>
      <c r="D3" t="s">
        <v>175</v>
      </c>
      <c r="E3" t="s">
        <v>176</v>
      </c>
      <c r="F3" t="s">
        <v>175</v>
      </c>
      <c r="G3" t="s">
        <v>177</v>
      </c>
      <c r="H3" t="s">
        <v>177</v>
      </c>
      <c r="I3" t="s">
        <v>178</v>
      </c>
    </row>
    <row r="4" spans="1:9" ht="12.5" customHeight="1" x14ac:dyDescent="0.2">
      <c r="A4" s="11"/>
      <c r="B4" s="80">
        <v>1</v>
      </c>
      <c r="C4" s="78" t="s">
        <v>179</v>
      </c>
      <c r="E4" t="s">
        <v>180</v>
      </c>
      <c r="F4" t="s">
        <v>181</v>
      </c>
      <c r="H4" t="s">
        <v>182</v>
      </c>
      <c r="I4" t="s">
        <v>183</v>
      </c>
    </row>
    <row r="5" spans="1:9" ht="12.5" customHeight="1" x14ac:dyDescent="0.2">
      <c r="A5" s="11"/>
      <c r="B5" s="52">
        <v>2</v>
      </c>
      <c r="C5" s="78" t="s">
        <v>184</v>
      </c>
      <c r="E5" t="s">
        <v>185</v>
      </c>
      <c r="F5" t="s">
        <v>186</v>
      </c>
      <c r="H5" t="s">
        <v>187</v>
      </c>
    </row>
    <row r="6" spans="1:9" ht="12.5" customHeight="1" x14ac:dyDescent="0.2">
      <c r="A6" s="11"/>
      <c r="B6" s="52">
        <v>3</v>
      </c>
      <c r="C6" s="78" t="s">
        <v>184</v>
      </c>
      <c r="E6" t="s">
        <v>188</v>
      </c>
      <c r="F6" t="s">
        <v>189</v>
      </c>
      <c r="H6" t="s">
        <v>190</v>
      </c>
    </row>
    <row r="7" spans="1:9" ht="12.5" customHeight="1" x14ac:dyDescent="0.2">
      <c r="A7" s="11"/>
      <c r="B7" s="80">
        <v>4</v>
      </c>
      <c r="C7" s="78" t="s">
        <v>179</v>
      </c>
      <c r="E7" t="s">
        <v>191</v>
      </c>
      <c r="F7" t="s">
        <v>192</v>
      </c>
      <c r="H7" t="s">
        <v>193</v>
      </c>
    </row>
    <row r="8" spans="1:9" ht="12.5" customHeight="1" x14ac:dyDescent="0.2">
      <c r="A8" s="11"/>
      <c r="B8" s="52">
        <v>5</v>
      </c>
      <c r="C8" s="78" t="s">
        <v>184</v>
      </c>
      <c r="E8" t="s">
        <v>194</v>
      </c>
      <c r="F8" t="s">
        <v>195</v>
      </c>
      <c r="H8" t="s">
        <v>196</v>
      </c>
    </row>
    <row r="9" spans="1:9" ht="12.5" customHeight="1" x14ac:dyDescent="0.2">
      <c r="A9" s="11"/>
      <c r="B9" s="80">
        <v>6</v>
      </c>
      <c r="C9" s="78" t="s">
        <v>179</v>
      </c>
    </row>
    <row r="10" spans="1:9" ht="12.5" customHeight="1" x14ac:dyDescent="0.2">
      <c r="A10" s="11"/>
      <c r="B10" s="52">
        <v>7</v>
      </c>
      <c r="C10" s="78" t="s">
        <v>184</v>
      </c>
      <c r="E10" t="s">
        <v>39</v>
      </c>
      <c r="G10" t="s">
        <v>175</v>
      </c>
    </row>
    <row r="11" spans="1:9" ht="12.5" customHeight="1" x14ac:dyDescent="0.2">
      <c r="A11" s="11"/>
      <c r="B11" s="52">
        <v>8</v>
      </c>
      <c r="C11" s="78" t="s">
        <v>184</v>
      </c>
      <c r="E11" t="s">
        <v>54</v>
      </c>
      <c r="G11" t="s">
        <v>181</v>
      </c>
    </row>
    <row r="12" spans="1:9" ht="12.5" customHeight="1" x14ac:dyDescent="0.2">
      <c r="A12" s="11"/>
      <c r="B12" s="80">
        <v>9</v>
      </c>
      <c r="C12" s="78" t="s">
        <v>179</v>
      </c>
      <c r="E12" t="s">
        <v>68</v>
      </c>
      <c r="G12" t="s">
        <v>186</v>
      </c>
    </row>
    <row r="13" spans="1:9" ht="12.5" customHeight="1" x14ac:dyDescent="0.2">
      <c r="A13" s="11"/>
      <c r="B13" s="80">
        <v>10</v>
      </c>
      <c r="C13" s="78" t="s">
        <v>179</v>
      </c>
      <c r="E13" t="s">
        <v>93</v>
      </c>
      <c r="G13" t="s">
        <v>189</v>
      </c>
    </row>
    <row r="14" spans="1:9" ht="12.5" customHeight="1" x14ac:dyDescent="0.2">
      <c r="A14" s="11"/>
      <c r="B14" s="80">
        <v>11</v>
      </c>
      <c r="C14" s="78" t="s">
        <v>179</v>
      </c>
      <c r="E14" t="s">
        <v>122</v>
      </c>
      <c r="G14" t="s">
        <v>192</v>
      </c>
    </row>
    <row r="15" spans="1:9" ht="12.5" customHeight="1" x14ac:dyDescent="0.2">
      <c r="A15" s="11"/>
      <c r="B15" s="52">
        <v>12</v>
      </c>
      <c r="C15" s="78" t="s">
        <v>184</v>
      </c>
      <c r="E15" t="s">
        <v>141</v>
      </c>
      <c r="G15" t="s">
        <v>195</v>
      </c>
    </row>
    <row r="16" spans="1:9" ht="12.5" customHeight="1" x14ac:dyDescent="0.2">
      <c r="A16" s="11"/>
      <c r="B16" s="52">
        <v>13</v>
      </c>
      <c r="C16" s="78" t="s">
        <v>184</v>
      </c>
    </row>
    <row r="17" spans="1:7" ht="12.5" customHeight="1" x14ac:dyDescent="0.2">
      <c r="A17" s="11"/>
      <c r="B17" s="52">
        <v>14</v>
      </c>
      <c r="C17" s="78" t="s">
        <v>184</v>
      </c>
    </row>
    <row r="18" spans="1:7" ht="12.5" customHeight="1" x14ac:dyDescent="0.2">
      <c r="A18" s="11"/>
      <c r="B18" s="132" t="s">
        <v>54</v>
      </c>
      <c r="C18" s="133"/>
      <c r="D18" t="s">
        <v>181</v>
      </c>
      <c r="G18" t="s">
        <v>182</v>
      </c>
    </row>
    <row r="19" spans="1:7" ht="12.5" customHeight="1" x14ac:dyDescent="0.2">
      <c r="A19" s="11"/>
      <c r="B19" s="52">
        <v>15</v>
      </c>
      <c r="C19" s="78" t="s">
        <v>184</v>
      </c>
    </row>
    <row r="20" spans="1:7" ht="12.5" customHeight="1" x14ac:dyDescent="0.2">
      <c r="A20" s="11"/>
      <c r="B20" s="80">
        <v>16</v>
      </c>
      <c r="C20" s="78" t="s">
        <v>179</v>
      </c>
    </row>
    <row r="21" spans="1:7" ht="12.5" customHeight="1" x14ac:dyDescent="0.2">
      <c r="A21" s="11"/>
      <c r="B21" s="52">
        <v>17</v>
      </c>
      <c r="C21" s="78" t="s">
        <v>184</v>
      </c>
    </row>
    <row r="22" spans="1:7" ht="12.5" customHeight="1" x14ac:dyDescent="0.2">
      <c r="A22" s="11"/>
      <c r="B22" s="80">
        <v>18</v>
      </c>
      <c r="C22" s="78" t="s">
        <v>179</v>
      </c>
    </row>
    <row r="23" spans="1:7" ht="12.5" customHeight="1" x14ac:dyDescent="0.2">
      <c r="A23" s="11"/>
      <c r="B23" s="52">
        <v>19</v>
      </c>
      <c r="C23" s="78" t="s">
        <v>184</v>
      </c>
    </row>
    <row r="24" spans="1:7" ht="12.5" customHeight="1" x14ac:dyDescent="0.2">
      <c r="A24" s="11"/>
      <c r="B24" s="52">
        <v>20</v>
      </c>
      <c r="C24" s="78" t="s">
        <v>184</v>
      </c>
    </row>
    <row r="25" spans="1:7" ht="12.5" customHeight="1" x14ac:dyDescent="0.2">
      <c r="A25" s="11"/>
      <c r="B25" s="80">
        <v>21</v>
      </c>
      <c r="C25" s="78" t="s">
        <v>179</v>
      </c>
    </row>
    <row r="26" spans="1:7" ht="12.5" customHeight="1" x14ac:dyDescent="0.2">
      <c r="A26" s="11"/>
      <c r="B26" s="80">
        <v>22</v>
      </c>
      <c r="C26" s="78" t="s">
        <v>179</v>
      </c>
    </row>
    <row r="27" spans="1:7" ht="12.5" customHeight="1" x14ac:dyDescent="0.2">
      <c r="A27" s="11"/>
      <c r="B27" s="80">
        <v>23</v>
      </c>
      <c r="C27" s="78" t="s">
        <v>179</v>
      </c>
    </row>
    <row r="28" spans="1:7" ht="12.5" customHeight="1" x14ac:dyDescent="0.2">
      <c r="A28" s="11"/>
      <c r="B28" s="52">
        <v>24</v>
      </c>
      <c r="C28" s="78" t="s">
        <v>184</v>
      </c>
    </row>
    <row r="29" spans="1:7" ht="12.5" customHeight="1" x14ac:dyDescent="0.2">
      <c r="A29" s="11"/>
      <c r="B29" s="52">
        <v>25</v>
      </c>
      <c r="C29" s="78" t="s">
        <v>184</v>
      </c>
    </row>
    <row r="30" spans="1:7" ht="12.5" customHeight="1" x14ac:dyDescent="0.2">
      <c r="A30" s="11"/>
      <c r="B30" s="52">
        <v>26</v>
      </c>
      <c r="C30" s="78" t="s">
        <v>184</v>
      </c>
    </row>
    <row r="31" spans="1:7" ht="12.5" customHeight="1" x14ac:dyDescent="0.2">
      <c r="A31" s="11"/>
      <c r="B31" s="80">
        <v>27</v>
      </c>
      <c r="C31" s="78" t="s">
        <v>179</v>
      </c>
    </row>
    <row r="32" spans="1:7" ht="12.5" customHeight="1" x14ac:dyDescent="0.2">
      <c r="A32" s="11"/>
      <c r="B32" s="132" t="s">
        <v>68</v>
      </c>
      <c r="C32" s="133"/>
      <c r="D32" t="s">
        <v>186</v>
      </c>
      <c r="G32" t="s">
        <v>187</v>
      </c>
    </row>
    <row r="33" spans="1:3" ht="12.5" customHeight="1" x14ac:dyDescent="0.2">
      <c r="A33" s="11"/>
      <c r="B33" s="52">
        <v>28</v>
      </c>
      <c r="C33" s="78" t="s">
        <v>184</v>
      </c>
    </row>
    <row r="34" spans="1:3" ht="12.5" customHeight="1" x14ac:dyDescent="0.2">
      <c r="A34" s="11"/>
      <c r="B34" s="80">
        <v>29</v>
      </c>
      <c r="C34" s="78" t="s">
        <v>179</v>
      </c>
    </row>
    <row r="35" spans="1:3" ht="12.5" customHeight="1" x14ac:dyDescent="0.2">
      <c r="A35" s="11"/>
      <c r="B35" s="80">
        <v>30</v>
      </c>
      <c r="C35" s="78" t="s">
        <v>179</v>
      </c>
    </row>
    <row r="36" spans="1:3" ht="12.5" customHeight="1" x14ac:dyDescent="0.2">
      <c r="A36" s="11"/>
      <c r="B36" s="52">
        <v>31</v>
      </c>
      <c r="C36" s="78" t="s">
        <v>184</v>
      </c>
    </row>
    <row r="37" spans="1:3" ht="12.5" customHeight="1" x14ac:dyDescent="0.2">
      <c r="A37" s="11"/>
      <c r="B37" s="52">
        <v>32</v>
      </c>
      <c r="C37" s="78" t="s">
        <v>184</v>
      </c>
    </row>
    <row r="38" spans="1:3" ht="12.5" customHeight="1" x14ac:dyDescent="0.2">
      <c r="A38" s="11"/>
      <c r="B38" s="80">
        <v>33</v>
      </c>
      <c r="C38" s="78" t="s">
        <v>179</v>
      </c>
    </row>
    <row r="39" spans="1:3" ht="12.5" customHeight="1" x14ac:dyDescent="0.2">
      <c r="A39" s="11"/>
      <c r="B39" s="52">
        <v>34</v>
      </c>
      <c r="C39" s="78" t="s">
        <v>184</v>
      </c>
    </row>
    <row r="40" spans="1:3" ht="12.5" customHeight="1" x14ac:dyDescent="0.2">
      <c r="A40" s="11"/>
      <c r="B40" s="52">
        <v>35</v>
      </c>
      <c r="C40" s="78" t="s">
        <v>184</v>
      </c>
    </row>
    <row r="41" spans="1:3" ht="12.5" customHeight="1" x14ac:dyDescent="0.2">
      <c r="A41" s="11"/>
      <c r="B41" s="52">
        <v>36</v>
      </c>
      <c r="C41" s="78" t="s">
        <v>184</v>
      </c>
    </row>
    <row r="42" spans="1:3" ht="12.5" customHeight="1" x14ac:dyDescent="0.2">
      <c r="A42" s="11"/>
      <c r="B42" s="52">
        <v>37</v>
      </c>
      <c r="C42" s="78" t="s">
        <v>184</v>
      </c>
    </row>
    <row r="43" spans="1:3" ht="12.5" customHeight="1" x14ac:dyDescent="0.2">
      <c r="A43" s="11"/>
      <c r="B43" s="80">
        <v>38</v>
      </c>
      <c r="C43" s="78" t="s">
        <v>179</v>
      </c>
    </row>
    <row r="44" spans="1:3" ht="12.5" customHeight="1" x14ac:dyDescent="0.2">
      <c r="A44" s="11"/>
      <c r="B44" s="52">
        <v>39</v>
      </c>
      <c r="C44" s="78" t="s">
        <v>184</v>
      </c>
    </row>
    <row r="45" spans="1:3" ht="12.5" customHeight="1" x14ac:dyDescent="0.2">
      <c r="A45" s="11"/>
      <c r="B45" s="52">
        <v>40</v>
      </c>
      <c r="C45" s="78" t="s">
        <v>184</v>
      </c>
    </row>
    <row r="46" spans="1:3" ht="12.5" customHeight="1" x14ac:dyDescent="0.2">
      <c r="A46" s="11"/>
      <c r="B46" s="52">
        <v>41</v>
      </c>
      <c r="C46" s="78" t="s">
        <v>184</v>
      </c>
    </row>
    <row r="47" spans="1:3" ht="12.5" customHeight="1" x14ac:dyDescent="0.2">
      <c r="A47" s="11"/>
      <c r="B47" s="52">
        <v>42</v>
      </c>
      <c r="C47" s="78" t="s">
        <v>184</v>
      </c>
    </row>
    <row r="48" spans="1:3" ht="12.5" customHeight="1" x14ac:dyDescent="0.2">
      <c r="A48" s="11"/>
      <c r="B48" s="52">
        <v>43</v>
      </c>
      <c r="C48" s="78" t="s">
        <v>184</v>
      </c>
    </row>
    <row r="49" spans="1:7" ht="12.5" customHeight="1" x14ac:dyDescent="0.2">
      <c r="A49" s="11"/>
      <c r="B49" s="52">
        <v>44</v>
      </c>
      <c r="C49" s="78" t="s">
        <v>184</v>
      </c>
    </row>
    <row r="50" spans="1:7" ht="12.5" customHeight="1" x14ac:dyDescent="0.2">
      <c r="A50" s="11"/>
      <c r="B50" s="80">
        <v>45</v>
      </c>
      <c r="C50" s="78" t="s">
        <v>179</v>
      </c>
    </row>
    <row r="51" spans="1:7" ht="12.5" customHeight="1" x14ac:dyDescent="0.2">
      <c r="A51" s="11"/>
      <c r="B51" s="52">
        <v>46</v>
      </c>
      <c r="C51" s="78" t="s">
        <v>184</v>
      </c>
    </row>
    <row r="52" spans="1:7" ht="12.5" customHeight="1" x14ac:dyDescent="0.2">
      <c r="A52" s="11"/>
      <c r="B52" s="80">
        <v>47</v>
      </c>
      <c r="C52" s="78" t="s">
        <v>179</v>
      </c>
    </row>
    <row r="53" spans="1:7" ht="12.5" customHeight="1" x14ac:dyDescent="0.2">
      <c r="A53" s="11"/>
      <c r="B53" s="80">
        <v>48</v>
      </c>
      <c r="C53" s="78" t="s">
        <v>179</v>
      </c>
    </row>
    <row r="54" spans="1:7" ht="12.5" customHeight="1" x14ac:dyDescent="0.2">
      <c r="A54" s="11"/>
      <c r="B54" s="52">
        <v>49</v>
      </c>
      <c r="C54" s="78" t="s">
        <v>184</v>
      </c>
    </row>
    <row r="55" spans="1:7" ht="12.5" customHeight="1" x14ac:dyDescent="0.2">
      <c r="A55" s="11"/>
      <c r="B55" s="52">
        <v>50</v>
      </c>
      <c r="C55" s="78" t="s">
        <v>184</v>
      </c>
    </row>
    <row r="56" spans="1:7" ht="12.5" customHeight="1" x14ac:dyDescent="0.2">
      <c r="A56" s="11"/>
      <c r="B56" s="52">
        <v>51</v>
      </c>
      <c r="C56" s="78" t="s">
        <v>184</v>
      </c>
    </row>
    <row r="57" spans="1:7" ht="12.5" customHeight="1" x14ac:dyDescent="0.2">
      <c r="A57" s="11"/>
      <c r="B57" s="132" t="s">
        <v>93</v>
      </c>
      <c r="C57" s="133"/>
      <c r="D57" t="s">
        <v>189</v>
      </c>
      <c r="G57" t="s">
        <v>190</v>
      </c>
    </row>
    <row r="58" spans="1:7" ht="12.5" customHeight="1" x14ac:dyDescent="0.2">
      <c r="A58" s="11"/>
      <c r="B58" s="80">
        <v>52</v>
      </c>
      <c r="C58" s="78" t="s">
        <v>179</v>
      </c>
    </row>
    <row r="59" spans="1:7" ht="12.5" customHeight="1" x14ac:dyDescent="0.2">
      <c r="A59" s="11"/>
      <c r="B59" s="52">
        <v>53</v>
      </c>
      <c r="C59" s="78" t="s">
        <v>184</v>
      </c>
    </row>
    <row r="60" spans="1:7" ht="12.5" customHeight="1" x14ac:dyDescent="0.2">
      <c r="A60" s="11"/>
      <c r="B60" s="52">
        <v>54</v>
      </c>
      <c r="C60" s="78" t="s">
        <v>184</v>
      </c>
    </row>
    <row r="61" spans="1:7" ht="12.5" customHeight="1" x14ac:dyDescent="0.2">
      <c r="A61" s="11"/>
      <c r="B61" s="52">
        <v>55</v>
      </c>
      <c r="C61" s="78" t="s">
        <v>184</v>
      </c>
    </row>
    <row r="62" spans="1:7" ht="12.5" customHeight="1" x14ac:dyDescent="0.2">
      <c r="A62" s="11"/>
      <c r="B62" s="52">
        <v>56</v>
      </c>
      <c r="C62" s="78" t="s">
        <v>184</v>
      </c>
    </row>
    <row r="63" spans="1:7" ht="12.5" customHeight="1" x14ac:dyDescent="0.2">
      <c r="A63" s="11"/>
      <c r="B63" s="80">
        <v>57</v>
      </c>
      <c r="C63" s="78" t="s">
        <v>179</v>
      </c>
    </row>
    <row r="64" spans="1:7" ht="12.5" customHeight="1" x14ac:dyDescent="0.2">
      <c r="A64" s="11"/>
      <c r="B64" s="80">
        <v>58</v>
      </c>
      <c r="C64" s="78" t="s">
        <v>179</v>
      </c>
    </row>
    <row r="65" spans="1:3" ht="12.5" customHeight="1" x14ac:dyDescent="0.2">
      <c r="A65" s="11"/>
      <c r="B65" s="52">
        <v>59</v>
      </c>
      <c r="C65" s="78" t="s">
        <v>184</v>
      </c>
    </row>
    <row r="66" spans="1:3" ht="12.5" customHeight="1" x14ac:dyDescent="0.2">
      <c r="A66" s="11"/>
      <c r="B66" s="80">
        <v>60</v>
      </c>
      <c r="C66" s="78" t="s">
        <v>179</v>
      </c>
    </row>
    <row r="67" spans="1:3" ht="12.5" customHeight="1" x14ac:dyDescent="0.2">
      <c r="A67" s="11"/>
      <c r="B67" s="52">
        <v>61</v>
      </c>
      <c r="C67" s="78" t="s">
        <v>184</v>
      </c>
    </row>
    <row r="68" spans="1:3" ht="12.5" customHeight="1" x14ac:dyDescent="0.2">
      <c r="A68" s="11"/>
      <c r="B68" s="52">
        <v>62</v>
      </c>
      <c r="C68" s="78" t="s">
        <v>184</v>
      </c>
    </row>
    <row r="69" spans="1:3" ht="12.5" customHeight="1" x14ac:dyDescent="0.2">
      <c r="A69" s="11"/>
      <c r="B69" s="80">
        <v>63</v>
      </c>
      <c r="C69" s="78" t="s">
        <v>179</v>
      </c>
    </row>
    <row r="70" spans="1:3" ht="12.5" customHeight="1" x14ac:dyDescent="0.2">
      <c r="A70" s="11"/>
      <c r="B70" s="52">
        <v>64</v>
      </c>
      <c r="C70" s="78" t="s">
        <v>184</v>
      </c>
    </row>
    <row r="71" spans="1:3" ht="12.5" customHeight="1" x14ac:dyDescent="0.2">
      <c r="A71" s="11"/>
      <c r="B71" s="52">
        <v>65</v>
      </c>
      <c r="C71" s="78" t="s">
        <v>184</v>
      </c>
    </row>
    <row r="72" spans="1:3" ht="12.5" customHeight="1" x14ac:dyDescent="0.2">
      <c r="A72" s="11"/>
      <c r="B72" s="52">
        <v>66</v>
      </c>
      <c r="C72" s="78" t="s">
        <v>184</v>
      </c>
    </row>
    <row r="73" spans="1:3" ht="12.5" customHeight="1" x14ac:dyDescent="0.2">
      <c r="A73" s="11"/>
      <c r="B73" s="52">
        <v>67</v>
      </c>
      <c r="C73" s="78" t="s">
        <v>184</v>
      </c>
    </row>
    <row r="74" spans="1:3" ht="12.5" customHeight="1" x14ac:dyDescent="0.2">
      <c r="A74" s="11"/>
      <c r="B74" s="80">
        <v>68</v>
      </c>
      <c r="C74" s="78" t="s">
        <v>179</v>
      </c>
    </row>
    <row r="75" spans="1:3" ht="12.5" customHeight="1" x14ac:dyDescent="0.2">
      <c r="A75" s="11"/>
      <c r="B75" s="52">
        <v>69</v>
      </c>
      <c r="C75" s="78" t="s">
        <v>184</v>
      </c>
    </row>
    <row r="76" spans="1:3" ht="12.5" customHeight="1" x14ac:dyDescent="0.2">
      <c r="A76" s="11"/>
      <c r="B76" s="52">
        <v>70</v>
      </c>
      <c r="C76" s="78" t="s">
        <v>184</v>
      </c>
    </row>
    <row r="77" spans="1:3" ht="12.5" customHeight="1" x14ac:dyDescent="0.2">
      <c r="A77" s="11"/>
      <c r="B77" s="80">
        <v>71</v>
      </c>
      <c r="C77" s="78" t="s">
        <v>179</v>
      </c>
    </row>
    <row r="78" spans="1:3" ht="12.5" customHeight="1" x14ac:dyDescent="0.2">
      <c r="A78" s="11"/>
      <c r="B78" s="52">
        <v>72</v>
      </c>
      <c r="C78" s="78" t="s">
        <v>184</v>
      </c>
    </row>
    <row r="79" spans="1:3" ht="12.5" customHeight="1" x14ac:dyDescent="0.2">
      <c r="A79" s="11"/>
      <c r="B79" s="80">
        <v>73</v>
      </c>
      <c r="C79" s="78" t="s">
        <v>179</v>
      </c>
    </row>
    <row r="80" spans="1:3" ht="12.5" customHeight="1" x14ac:dyDescent="0.2">
      <c r="A80" s="11"/>
      <c r="B80" s="52">
        <v>74</v>
      </c>
      <c r="C80" s="78" t="s">
        <v>184</v>
      </c>
    </row>
    <row r="81" spans="1:7" ht="12.5" customHeight="1" x14ac:dyDescent="0.2">
      <c r="A81" s="11"/>
      <c r="B81" s="52">
        <v>75</v>
      </c>
      <c r="C81" s="78" t="s">
        <v>184</v>
      </c>
    </row>
    <row r="82" spans="1:7" ht="12.5" customHeight="1" x14ac:dyDescent="0.2">
      <c r="A82" s="11"/>
      <c r="B82" s="52">
        <v>76</v>
      </c>
      <c r="C82" s="78" t="s">
        <v>184</v>
      </c>
    </row>
    <row r="83" spans="1:7" ht="12.5" customHeight="1" x14ac:dyDescent="0.2">
      <c r="A83" s="11"/>
      <c r="B83" s="52">
        <v>77</v>
      </c>
      <c r="C83" s="78" t="s">
        <v>184</v>
      </c>
    </row>
    <row r="84" spans="1:7" ht="12.5" customHeight="1" x14ac:dyDescent="0.2">
      <c r="A84" s="11"/>
      <c r="B84" s="52">
        <v>78</v>
      </c>
      <c r="C84" s="78" t="s">
        <v>184</v>
      </c>
    </row>
    <row r="85" spans="1:7" ht="12.5" customHeight="1" x14ac:dyDescent="0.2">
      <c r="A85" s="11"/>
      <c r="B85" s="52">
        <v>79</v>
      </c>
      <c r="C85" s="78" t="s">
        <v>184</v>
      </c>
    </row>
    <row r="86" spans="1:7" ht="12.5" customHeight="1" x14ac:dyDescent="0.2">
      <c r="A86" s="11"/>
      <c r="B86" s="132" t="s">
        <v>122</v>
      </c>
      <c r="C86" s="133"/>
      <c r="D86" t="s">
        <v>192</v>
      </c>
      <c r="G86" t="s">
        <v>197</v>
      </c>
    </row>
    <row r="87" spans="1:7" ht="12.5" customHeight="1" x14ac:dyDescent="0.2">
      <c r="A87" s="11"/>
      <c r="B87" s="80">
        <v>80</v>
      </c>
      <c r="C87" s="78" t="s">
        <v>179</v>
      </c>
    </row>
    <row r="88" spans="1:7" ht="12.5" customHeight="1" x14ac:dyDescent="0.2">
      <c r="A88" s="11"/>
      <c r="B88" s="52">
        <v>81</v>
      </c>
      <c r="C88" s="78" t="s">
        <v>184</v>
      </c>
    </row>
    <row r="89" spans="1:7" ht="12.5" customHeight="1" x14ac:dyDescent="0.2">
      <c r="A89" s="11"/>
      <c r="B89" s="52">
        <v>82</v>
      </c>
      <c r="C89" s="78" t="s">
        <v>184</v>
      </c>
    </row>
    <row r="90" spans="1:7" ht="12.5" customHeight="1" x14ac:dyDescent="0.2">
      <c r="A90" s="11"/>
      <c r="B90" s="52">
        <v>83</v>
      </c>
      <c r="C90" s="78" t="s">
        <v>184</v>
      </c>
    </row>
    <row r="91" spans="1:7" ht="12.5" customHeight="1" x14ac:dyDescent="0.2">
      <c r="A91" s="11"/>
      <c r="B91" s="80">
        <v>84</v>
      </c>
      <c r="C91" s="78" t="s">
        <v>179</v>
      </c>
    </row>
    <row r="92" spans="1:7" ht="12.5" customHeight="1" x14ac:dyDescent="0.2">
      <c r="A92" s="11"/>
      <c r="B92" s="80">
        <v>85</v>
      </c>
      <c r="C92" s="78" t="s">
        <v>179</v>
      </c>
    </row>
    <row r="93" spans="1:7" ht="12.5" customHeight="1" x14ac:dyDescent="0.2">
      <c r="A93" s="11"/>
      <c r="B93" s="52">
        <v>86</v>
      </c>
      <c r="C93" s="78" t="s">
        <v>184</v>
      </c>
    </row>
    <row r="94" spans="1:7" ht="12.5" customHeight="1" x14ac:dyDescent="0.2">
      <c r="A94" s="11"/>
      <c r="B94" s="52">
        <v>87</v>
      </c>
      <c r="C94" s="78" t="s">
        <v>184</v>
      </c>
    </row>
    <row r="95" spans="1:7" ht="12.5" customHeight="1" x14ac:dyDescent="0.2">
      <c r="A95" s="11"/>
      <c r="B95" s="80">
        <v>88</v>
      </c>
      <c r="C95" s="78" t="s">
        <v>179</v>
      </c>
    </row>
    <row r="96" spans="1:7" ht="12.5" customHeight="1" x14ac:dyDescent="0.2">
      <c r="A96" s="11"/>
      <c r="B96" s="52">
        <v>89</v>
      </c>
      <c r="C96" s="78" t="s">
        <v>184</v>
      </c>
    </row>
    <row r="97" spans="1:7" ht="12.5" customHeight="1" x14ac:dyDescent="0.2">
      <c r="A97" s="11"/>
      <c r="B97" s="52">
        <v>90</v>
      </c>
      <c r="C97" s="78" t="s">
        <v>184</v>
      </c>
    </row>
    <row r="98" spans="1:7" ht="12.5" customHeight="1" x14ac:dyDescent="0.2">
      <c r="A98" s="11"/>
      <c r="B98" s="52">
        <v>91</v>
      </c>
      <c r="C98" s="78" t="s">
        <v>184</v>
      </c>
    </row>
    <row r="99" spans="1:7" ht="12.5" customHeight="1" x14ac:dyDescent="0.2">
      <c r="A99" s="11"/>
      <c r="B99" s="52">
        <v>92</v>
      </c>
      <c r="C99" s="78" t="s">
        <v>184</v>
      </c>
    </row>
    <row r="100" spans="1:7" ht="12.5" customHeight="1" x14ac:dyDescent="0.2">
      <c r="A100" s="11"/>
      <c r="B100" s="80">
        <v>93</v>
      </c>
      <c r="C100" s="78" t="s">
        <v>179</v>
      </c>
    </row>
    <row r="101" spans="1:7" ht="12.5" customHeight="1" x14ac:dyDescent="0.2">
      <c r="A101" s="11"/>
      <c r="B101" s="52">
        <v>94</v>
      </c>
      <c r="C101" s="78" t="s">
        <v>184</v>
      </c>
    </row>
    <row r="102" spans="1:7" ht="12.5" customHeight="1" x14ac:dyDescent="0.2">
      <c r="A102" s="11"/>
      <c r="B102" s="52">
        <v>95</v>
      </c>
      <c r="C102" s="78" t="s">
        <v>184</v>
      </c>
    </row>
    <row r="103" spans="1:7" ht="12.5" customHeight="1" x14ac:dyDescent="0.2">
      <c r="A103" s="11"/>
      <c r="B103" s="52">
        <v>96</v>
      </c>
      <c r="C103" s="78" t="s">
        <v>184</v>
      </c>
    </row>
    <row r="104" spans="1:7" ht="12.5" customHeight="1" x14ac:dyDescent="0.2">
      <c r="A104" s="11"/>
      <c r="B104" s="80">
        <v>97</v>
      </c>
      <c r="C104" s="78" t="s">
        <v>179</v>
      </c>
    </row>
    <row r="105" spans="1:7" ht="12.5" customHeight="1" x14ac:dyDescent="0.2">
      <c r="A105" s="11"/>
      <c r="B105" s="132" t="s">
        <v>141</v>
      </c>
      <c r="C105" s="133"/>
      <c r="D105" t="s">
        <v>195</v>
      </c>
      <c r="G105" t="s">
        <v>198</v>
      </c>
    </row>
    <row r="106" spans="1:7" ht="12.5" customHeight="1" x14ac:dyDescent="0.2">
      <c r="A106" s="11"/>
      <c r="B106" s="52">
        <v>98</v>
      </c>
      <c r="C106" s="78" t="s">
        <v>184</v>
      </c>
    </row>
    <row r="107" spans="1:7" ht="12.5" customHeight="1" x14ac:dyDescent="0.2">
      <c r="A107" s="11"/>
      <c r="B107" s="52">
        <v>99</v>
      </c>
      <c r="C107" s="78" t="s">
        <v>184</v>
      </c>
    </row>
    <row r="108" spans="1:7" ht="12.5" customHeight="1" x14ac:dyDescent="0.2">
      <c r="A108" s="11"/>
      <c r="B108" s="52">
        <v>100</v>
      </c>
      <c r="C108" s="78" t="s">
        <v>184</v>
      </c>
    </row>
    <row r="109" spans="1:7" ht="12.5" customHeight="1" x14ac:dyDescent="0.2">
      <c r="A109" s="11"/>
      <c r="B109" s="52">
        <v>101</v>
      </c>
      <c r="C109" s="78" t="s">
        <v>184</v>
      </c>
    </row>
    <row r="110" spans="1:7" ht="12.5" customHeight="1" x14ac:dyDescent="0.2">
      <c r="A110" s="11"/>
      <c r="B110" s="80">
        <v>102</v>
      </c>
      <c r="C110" s="78" t="s">
        <v>179</v>
      </c>
    </row>
    <row r="111" spans="1:7" ht="12.5" customHeight="1" x14ac:dyDescent="0.2">
      <c r="A111" s="11"/>
      <c r="B111" s="52">
        <v>103</v>
      </c>
      <c r="C111" s="78" t="s">
        <v>184</v>
      </c>
    </row>
    <row r="112" spans="1:7" ht="12.5" customHeight="1" x14ac:dyDescent="0.2">
      <c r="A112" s="11"/>
      <c r="B112" s="52">
        <v>104</v>
      </c>
      <c r="C112" s="78" t="s">
        <v>184</v>
      </c>
    </row>
    <row r="113" spans="1:3" ht="12.5" customHeight="1" x14ac:dyDescent="0.2">
      <c r="A113" s="11"/>
      <c r="B113" s="52">
        <v>105</v>
      </c>
      <c r="C113" s="78" t="s">
        <v>184</v>
      </c>
    </row>
    <row r="114" spans="1:3" ht="12.5" customHeight="1" x14ac:dyDescent="0.2">
      <c r="A114" s="11"/>
      <c r="B114" s="52">
        <v>106</v>
      </c>
      <c r="C114" s="78" t="s">
        <v>184</v>
      </c>
    </row>
    <row r="115" spans="1:3" ht="12.5" customHeight="1" x14ac:dyDescent="0.2">
      <c r="A115" s="11"/>
      <c r="B115" s="80">
        <v>107</v>
      </c>
      <c r="C115" s="78" t="s">
        <v>179</v>
      </c>
    </row>
    <row r="116" spans="1:3" ht="12.5" customHeight="1" x14ac:dyDescent="0.2">
      <c r="A116" s="11"/>
      <c r="B116" s="80">
        <v>108</v>
      </c>
      <c r="C116" s="78" t="s">
        <v>179</v>
      </c>
    </row>
    <row r="117" spans="1:3" ht="12.5" customHeight="1" x14ac:dyDescent="0.2">
      <c r="A117" s="11"/>
      <c r="B117" s="52">
        <v>109</v>
      </c>
      <c r="C117" s="78" t="s">
        <v>184</v>
      </c>
    </row>
    <row r="118" spans="1:3" ht="12.5" customHeight="1" x14ac:dyDescent="0.2">
      <c r="A118" s="11"/>
      <c r="B118" s="52">
        <v>110</v>
      </c>
      <c r="C118" s="78" t="s">
        <v>184</v>
      </c>
    </row>
    <row r="119" spans="1:3" ht="12.5" customHeight="1" x14ac:dyDescent="0.2">
      <c r="A119" s="11"/>
      <c r="B119" s="52">
        <v>111</v>
      </c>
      <c r="C119" s="78" t="s">
        <v>184</v>
      </c>
    </row>
    <row r="120" spans="1:3" ht="12.5" customHeight="1" x14ac:dyDescent="0.2">
      <c r="A120" s="11"/>
      <c r="B120" s="52">
        <v>112</v>
      </c>
      <c r="C120" s="78" t="s">
        <v>184</v>
      </c>
    </row>
    <row r="121" spans="1:3" ht="12.5" customHeight="1" x14ac:dyDescent="0.2">
      <c r="A121" s="11"/>
      <c r="B121" s="52">
        <v>113</v>
      </c>
      <c r="C121" s="78" t="s">
        <v>184</v>
      </c>
    </row>
    <row r="122" spans="1:3" ht="12.5" customHeight="1" x14ac:dyDescent="0.2">
      <c r="A122" s="11"/>
      <c r="B122" s="80">
        <v>114</v>
      </c>
      <c r="C122" s="78" t="s">
        <v>179</v>
      </c>
    </row>
    <row r="123" spans="1:3" ht="12.5" customHeight="1" x14ac:dyDescent="0.2">
      <c r="A123" s="11"/>
      <c r="B123" s="52">
        <v>115</v>
      </c>
      <c r="C123" s="78" t="s">
        <v>184</v>
      </c>
    </row>
    <row r="124" spans="1:3" ht="12.5" customHeight="1" x14ac:dyDescent="0.2">
      <c r="A124" s="11"/>
      <c r="B124" s="52">
        <v>116</v>
      </c>
      <c r="C124" s="78" t="s">
        <v>184</v>
      </c>
    </row>
    <row r="125" spans="1:3" ht="12.5" customHeight="1" x14ac:dyDescent="0.2">
      <c r="A125" s="11"/>
      <c r="B125" s="52">
        <v>117</v>
      </c>
      <c r="C125" s="78" t="s">
        <v>184</v>
      </c>
    </row>
    <row r="126" spans="1:3" ht="12.5" customHeight="1" x14ac:dyDescent="0.2">
      <c r="A126" s="11"/>
      <c r="B126" s="52">
        <v>118</v>
      </c>
      <c r="C126" s="78" t="s">
        <v>184</v>
      </c>
    </row>
    <row r="127" spans="1:3" ht="12.5" customHeight="1" x14ac:dyDescent="0.2">
      <c r="A127" s="11"/>
      <c r="B127" s="52">
        <v>119</v>
      </c>
      <c r="C127" s="78" t="s">
        <v>184</v>
      </c>
    </row>
    <row r="128" spans="1:3" ht="12.5" customHeight="1" x14ac:dyDescent="0.2">
      <c r="A128" s="11"/>
      <c r="B128" s="80">
        <v>120</v>
      </c>
      <c r="C128" s="78" t="s">
        <v>179</v>
      </c>
    </row>
    <row r="129" spans="1:3" ht="12.5" customHeight="1" x14ac:dyDescent="0.2">
      <c r="A129" s="11"/>
      <c r="B129" s="80">
        <v>121</v>
      </c>
      <c r="C129" s="78" t="s">
        <v>179</v>
      </c>
    </row>
    <row r="130" spans="1:3" ht="12.5" customHeight="1" x14ac:dyDescent="0.2">
      <c r="A130" s="11"/>
      <c r="B130" s="52">
        <v>122</v>
      </c>
      <c r="C130" s="78" t="s">
        <v>184</v>
      </c>
    </row>
    <row r="131" spans="1:3" ht="12.5" customHeight="1" x14ac:dyDescent="0.2">
      <c r="A131" s="11"/>
      <c r="B131" s="52">
        <v>123</v>
      </c>
      <c r="C131" s="78" t="s">
        <v>184</v>
      </c>
    </row>
    <row r="132" spans="1:3" ht="12.5" customHeight="1" x14ac:dyDescent="0.2">
      <c r="A132" s="11"/>
      <c r="B132" s="80">
        <v>124</v>
      </c>
      <c r="C132" s="78" t="s">
        <v>179</v>
      </c>
    </row>
    <row r="133" spans="1:3" ht="12.5" customHeight="1" x14ac:dyDescent="0.2">
      <c r="A133" s="11"/>
      <c r="B133" s="52">
        <v>125</v>
      </c>
      <c r="C133" s="78" t="s">
        <v>184</v>
      </c>
    </row>
    <row r="134" spans="1:3" ht="12.5" customHeight="1" x14ac:dyDescent="0.2">
      <c r="A134" s="11"/>
      <c r="B134" s="52">
        <v>126</v>
      </c>
      <c r="C134" s="78" t="s">
        <v>184</v>
      </c>
    </row>
  </sheetData>
  <sheetProtection sheet="1" objects="1" scenarios="1" selectLockedCells="1" selectUnlockedCells="1"/>
  <mergeCells count="6">
    <mergeCell ref="B105:C105"/>
    <mergeCell ref="B3:C3"/>
    <mergeCell ref="B18:C18"/>
    <mergeCell ref="B32:C32"/>
    <mergeCell ref="B57:C57"/>
    <mergeCell ref="B86:C8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1D9DF-CDAB-41F0-B678-EE2A7C256B83}">
  <sheetPr codeName="Sheet4">
    <tabColor theme="7" tint="-0.249977111117893"/>
  </sheetPr>
  <dimension ref="A1:AN9"/>
  <sheetViews>
    <sheetView zoomScale="70" zoomScaleNormal="70" workbookViewId="0">
      <selection activeCell="G16" sqref="G16"/>
    </sheetView>
  </sheetViews>
  <sheetFormatPr baseColWidth="10" defaultColWidth="8.6640625" defaultRowHeight="14" x14ac:dyDescent="0.15"/>
  <cols>
    <col min="1" max="1" width="1.33203125" style="61" customWidth="1"/>
    <col min="2" max="2" width="6.1640625" style="61" customWidth="1"/>
    <col min="3" max="3" width="15" style="61" customWidth="1"/>
    <col min="4" max="4" width="12.5" style="61" customWidth="1"/>
    <col min="5" max="5" width="10.33203125" style="61" customWidth="1"/>
    <col min="6" max="6" width="8.1640625" style="61" customWidth="1"/>
    <col min="7" max="7" width="11.33203125" style="61" customWidth="1"/>
    <col min="8" max="8" width="13.1640625" style="61" customWidth="1"/>
    <col min="9" max="9" width="3.33203125" style="61" customWidth="1"/>
    <col min="10" max="10" width="26.83203125" style="61" customWidth="1"/>
    <col min="11" max="11" width="19.1640625" style="61" bestFit="1" customWidth="1"/>
    <col min="12" max="12" width="8.6640625" style="61" customWidth="1"/>
    <col min="13" max="16384" width="8.6640625" style="61"/>
  </cols>
  <sheetData>
    <row r="1" spans="1:40" ht="7" customHeight="1" thickBot="1" x14ac:dyDescent="0.2"/>
    <row r="2" spans="1:40" ht="24" thickBot="1" x14ac:dyDescent="0.2">
      <c r="A2" s="10"/>
      <c r="B2" s="134" t="s">
        <v>199</v>
      </c>
      <c r="C2" s="135"/>
      <c r="D2" s="136"/>
      <c r="E2" s="136"/>
      <c r="F2" s="136"/>
      <c r="G2" s="136"/>
      <c r="H2" s="136"/>
      <c r="I2" s="136"/>
      <c r="J2" s="137"/>
      <c r="K2" s="62" t="s">
        <v>31</v>
      </c>
    </row>
    <row r="3" spans="1:40" ht="15" thickBot="1" x14ac:dyDescent="0.2"/>
    <row r="4" spans="1:40" s="68" customFormat="1" ht="33.5" customHeight="1" x14ac:dyDescent="0.15">
      <c r="A4" s="48"/>
      <c r="B4" s="49" t="s">
        <v>200</v>
      </c>
      <c r="C4" s="50" t="s">
        <v>201</v>
      </c>
      <c r="D4" s="50" t="s">
        <v>202</v>
      </c>
      <c r="E4" s="50" t="s">
        <v>203</v>
      </c>
      <c r="F4" s="50" t="s">
        <v>204</v>
      </c>
      <c r="G4" s="50" t="s">
        <v>205</v>
      </c>
      <c r="H4" s="51" t="s">
        <v>206</v>
      </c>
      <c r="J4" s="66" t="s">
        <v>207</v>
      </c>
    </row>
    <row r="5" spans="1:40" ht="71.5" customHeight="1" thickBot="1" x14ac:dyDescent="0.2">
      <c r="A5" s="10"/>
      <c r="B5" s="63">
        <v>1</v>
      </c>
      <c r="C5" s="64">
        <v>126</v>
      </c>
      <c r="D5" s="64">
        <f>COUNTIFS(Sheet1!C:C, "Mandatory", Checklist!D:D, "Pass")</f>
        <v>0</v>
      </c>
      <c r="E5" s="64">
        <f>COUNTIF(Checklist!D4:D134, "Pass")</f>
        <v>0</v>
      </c>
      <c r="F5" s="64">
        <f>COUNTIF(Checklist!D4:D134, "Fail")</f>
        <v>0</v>
      </c>
      <c r="G5" s="64">
        <f>COUNTIF(Checklist!D4:D134, "Risk Noted")</f>
        <v>0</v>
      </c>
      <c r="H5" s="65">
        <f>COUNTIF(Checklist!D4:D134, "Not Applicable")</f>
        <v>0</v>
      </c>
      <c r="J5" s="70" t="str">
        <f>IF(AND(E5=0,F5=0,G5=0),
   "Enterprise review score needs to be calculated.",
   IF(D5&lt;40,
      IF(E5+F5+G5&lt;126,
         "Enterprise review score is not good to go and mandatory checks are not passed.",
         "Enterprise review score is not good to go, as mandatory checks are not passed."),
      IF(E5+F5+G5&lt;126,
         "Enterprise review score cannot be calculated. Kindly fill all the checks.",
         "Enterprise review score is good to go, as the minimum mandatory pass is checked.")
   )
)</f>
        <v>Enterprise review score needs to be calculated.</v>
      </c>
    </row>
    <row r="7" spans="1:40" ht="83" customHeight="1" x14ac:dyDescent="0.15">
      <c r="B7" s="138" t="s">
        <v>208</v>
      </c>
      <c r="C7" s="139"/>
      <c r="D7" s="139"/>
      <c r="E7" s="139"/>
      <c r="F7" s="139"/>
      <c r="G7" s="139"/>
      <c r="H7" s="67"/>
    </row>
    <row r="8" spans="1:40" ht="15" thickBot="1" x14ac:dyDescent="0.2"/>
    <row r="9" spans="1:40" ht="23.5" customHeight="1" x14ac:dyDescent="0.15">
      <c r="B9" s="66" t="s">
        <v>35</v>
      </c>
      <c r="C9" s="140" t="s">
        <v>209</v>
      </c>
      <c r="D9" s="141"/>
      <c r="E9" s="141"/>
      <c r="F9" s="141"/>
      <c r="G9" s="141"/>
      <c r="H9" s="141"/>
      <c r="I9" s="142" t="s">
        <v>210</v>
      </c>
      <c r="J9" s="143"/>
      <c r="L9" s="66" t="s">
        <v>35</v>
      </c>
      <c r="M9" s="140" t="s">
        <v>211</v>
      </c>
      <c r="N9" s="141"/>
      <c r="O9" s="141"/>
      <c r="P9" s="141"/>
      <c r="Q9" s="141"/>
      <c r="R9" s="146"/>
      <c r="S9" s="144" t="s">
        <v>210</v>
      </c>
      <c r="T9" s="145"/>
      <c r="V9" s="66" t="s">
        <v>35</v>
      </c>
      <c r="W9" s="140" t="s">
        <v>212</v>
      </c>
      <c r="X9" s="141"/>
      <c r="Y9" s="141"/>
      <c r="Z9" s="141"/>
      <c r="AA9" s="141"/>
      <c r="AB9" s="141"/>
      <c r="AC9" s="142" t="s">
        <v>210</v>
      </c>
      <c r="AD9" s="143"/>
      <c r="AF9" s="66" t="s">
        <v>35</v>
      </c>
      <c r="AG9" s="140" t="s">
        <v>213</v>
      </c>
      <c r="AH9" s="141"/>
      <c r="AI9" s="141"/>
      <c r="AJ9" s="141"/>
      <c r="AK9" s="141"/>
      <c r="AL9" s="146"/>
      <c r="AM9" s="144" t="s">
        <v>210</v>
      </c>
      <c r="AN9" s="145"/>
    </row>
  </sheetData>
  <mergeCells count="10">
    <mergeCell ref="B2:J2"/>
    <mergeCell ref="B7:G7"/>
    <mergeCell ref="C9:H9"/>
    <mergeCell ref="I9:J9"/>
    <mergeCell ref="AM9:AN9"/>
    <mergeCell ref="M9:R9"/>
    <mergeCell ref="S9:T9"/>
    <mergeCell ref="W9:AB9"/>
    <mergeCell ref="AC9:AD9"/>
    <mergeCell ref="AG9:AL9"/>
  </mergeCells>
  <conditionalFormatting sqref="J5">
    <cfRule type="containsText" dxfId="12" priority="1" operator="containsText" text="Enterprise review score is not good to go, as mandatory checks are not passed">
      <formula>NOT(ISERROR(SEARCH("Enterprise review score is not good to go, as mandatory checks are not passed",J5)))</formula>
    </cfRule>
    <cfRule type="containsText" dxfId="11" priority="2" operator="containsText" text="Enterprise review score is not good to go and mandatory checks are not passed">
      <formula>NOT(ISERROR(SEARCH("Enterprise review score is not good to go and mandatory checks are not passed",J5)))</formula>
    </cfRule>
    <cfRule type="containsText" dxfId="10" priority="3" operator="containsText" text="Enterprise review score needs to be calculated">
      <formula>NOT(ISERROR(SEARCH("Enterprise review score needs to be calculated",J5)))</formula>
    </cfRule>
    <cfRule type="containsText" dxfId="9" priority="6" operator="containsText" text="Enterprise review score is good to go">
      <formula>NOT(ISERROR(SEARCH("Enterprise review score is good to go",J5)))</formula>
    </cfRule>
    <cfRule type="cellIs" dxfId="8" priority="8" operator="equal">
      <formula>"Enterprise review score is good to go"</formula>
    </cfRule>
    <cfRule type="cellIs" dxfId="7" priority="11" operator="equal">
      <formula>"Enterprise review score cannot be calculated. Kindly fill all the checks."</formula>
    </cfRule>
    <cfRule type="cellIs" dxfId="6" priority="12" operator="equal">
      <formula>"Enterprise review score is not good to go, as mandatory checks are not passed."</formula>
    </cfRule>
    <cfRule type="cellIs" dxfId="5" priority="13" operator="equal">
      <formula>"Enterprise review score is not good to go and mandatory checks are not passed. Kindly fill all the checks."</formula>
    </cfRule>
    <cfRule type="cellIs" dxfId="4" priority="14" operator="equal">
      <formula>"Enterprise review score needs to be calculated"</formula>
    </cfRule>
  </conditionalFormatting>
  <conditionalFormatting sqref="J6">
    <cfRule type="cellIs" dxfId="3" priority="7" operator="equal">
      <formula>"Enterprise review score is good to go"</formula>
    </cfRule>
    <cfRule type="cellIs" dxfId="2" priority="9" operator="equal">
      <formula>"Enterprise review score needs to be calculated."</formula>
    </cfRule>
  </conditionalFormatting>
  <conditionalFormatting sqref="D5">
    <cfRule type="cellIs" dxfId="1" priority="4" operator="equal">
      <formula>35</formula>
    </cfRule>
    <cfRule type="cellIs" dxfId="0" priority="5" operator="lessThan">
      <formula>35</formula>
    </cfRule>
  </conditionalFormatting>
  <hyperlinks>
    <hyperlink ref="K2" location="Index!A1" display="Click For Index" xr:uid="{CEA54424-8158-445E-85FE-202F9B5186CA}"/>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FF0E8-651F-4A68-ABF3-D1A9BAD5602C}">
  <sheetPr codeName="Sheet3">
    <tabColor rgb="FF7030A0"/>
  </sheetPr>
  <dimension ref="A1:J69"/>
  <sheetViews>
    <sheetView showGridLines="0" zoomScale="85" zoomScaleNormal="85" workbookViewId="0">
      <pane ySplit="2" topLeftCell="A3" activePane="bottomLeft" state="frozen"/>
      <selection activeCell="A2" sqref="A2"/>
      <selection pane="bottomLeft"/>
    </sheetView>
  </sheetViews>
  <sheetFormatPr baseColWidth="10" defaultColWidth="0" defaultRowHeight="14" zeroHeight="1" x14ac:dyDescent="0.2"/>
  <cols>
    <col min="1" max="1" width="1.5" style="46" customWidth="1"/>
    <col min="2" max="2" width="5.83203125" style="46" bestFit="1" customWidth="1"/>
    <col min="3" max="3" width="18.5" style="46" bestFit="1" customWidth="1"/>
    <col min="4" max="4" width="128.5" style="46" customWidth="1"/>
    <col min="5" max="5" width="16.5" style="46" bestFit="1" customWidth="1"/>
    <col min="6" max="6" width="8.6640625" style="46" customWidth="1"/>
    <col min="7" max="10" width="0" style="46" hidden="1" customWidth="1"/>
    <col min="11" max="16384" width="8.6640625" style="46" hidden="1"/>
  </cols>
  <sheetData>
    <row r="1" spans="2:5" ht="8" customHeight="1" thickBot="1" x14ac:dyDescent="0.25"/>
    <row r="2" spans="2:5" x14ac:dyDescent="0.2">
      <c r="B2" s="40" t="s">
        <v>35</v>
      </c>
      <c r="C2" s="90" t="s">
        <v>214</v>
      </c>
      <c r="D2" s="91"/>
      <c r="E2" s="77" t="s">
        <v>31</v>
      </c>
    </row>
    <row r="3" spans="2:5" x14ac:dyDescent="0.2">
      <c r="B3" s="37">
        <v>1</v>
      </c>
      <c r="C3" s="44" t="s">
        <v>215</v>
      </c>
      <c r="D3" s="45" t="s">
        <v>216</v>
      </c>
      <c r="E3" s="60"/>
    </row>
    <row r="4" spans="2:5" x14ac:dyDescent="0.2">
      <c r="B4" s="37">
        <v>2</v>
      </c>
      <c r="C4" s="44" t="s">
        <v>217</v>
      </c>
      <c r="D4" s="45" t="s">
        <v>218</v>
      </c>
      <c r="E4" s="60"/>
    </row>
    <row r="5" spans="2:5" x14ac:dyDescent="0.2">
      <c r="B5" s="37">
        <v>3</v>
      </c>
      <c r="C5" s="44" t="s">
        <v>219</v>
      </c>
      <c r="D5" s="45" t="s">
        <v>220</v>
      </c>
      <c r="E5" s="60"/>
    </row>
    <row r="6" spans="2:5" x14ac:dyDescent="0.2">
      <c r="B6" s="37">
        <v>4</v>
      </c>
      <c r="C6" s="44" t="s">
        <v>221</v>
      </c>
      <c r="D6" s="45" t="s">
        <v>222</v>
      </c>
      <c r="E6" s="60"/>
    </row>
    <row r="7" spans="2:5" x14ac:dyDescent="0.2">
      <c r="B7" s="37">
        <v>5</v>
      </c>
      <c r="C7" s="44" t="s">
        <v>223</v>
      </c>
      <c r="D7" s="45" t="s">
        <v>224</v>
      </c>
      <c r="E7" s="60"/>
    </row>
    <row r="8" spans="2:5" x14ac:dyDescent="0.2">
      <c r="B8" s="37">
        <v>6</v>
      </c>
      <c r="C8" s="44" t="s">
        <v>225</v>
      </c>
      <c r="D8" s="45" t="s">
        <v>226</v>
      </c>
      <c r="E8" s="60"/>
    </row>
    <row r="9" spans="2:5" x14ac:dyDescent="0.2">
      <c r="B9" s="37">
        <v>7</v>
      </c>
      <c r="C9" s="44" t="s">
        <v>227</v>
      </c>
      <c r="D9" s="45" t="s">
        <v>228</v>
      </c>
      <c r="E9" s="60"/>
    </row>
    <row r="10" spans="2:5" x14ac:dyDescent="0.2">
      <c r="B10" s="37">
        <v>8</v>
      </c>
      <c r="C10" s="44" t="s">
        <v>229</v>
      </c>
      <c r="D10" s="45" t="s">
        <v>230</v>
      </c>
      <c r="E10" s="60"/>
    </row>
    <row r="11" spans="2:5" ht="15" x14ac:dyDescent="0.2">
      <c r="B11" s="37">
        <v>9</v>
      </c>
      <c r="C11" s="73" t="s">
        <v>231</v>
      </c>
      <c r="D11" s="74" t="s">
        <v>232</v>
      </c>
      <c r="E11" s="60"/>
    </row>
    <row r="12" spans="2:5" ht="15" x14ac:dyDescent="0.2">
      <c r="B12" s="37">
        <v>10</v>
      </c>
      <c r="C12" s="73" t="s">
        <v>233</v>
      </c>
      <c r="D12" s="74" t="s">
        <v>234</v>
      </c>
      <c r="E12" s="60"/>
    </row>
    <row r="13" spans="2:5" ht="15" x14ac:dyDescent="0.2">
      <c r="B13" s="37">
        <v>11</v>
      </c>
      <c r="C13" s="73" t="s">
        <v>235</v>
      </c>
      <c r="D13" s="74" t="s">
        <v>236</v>
      </c>
      <c r="E13" s="60"/>
    </row>
    <row r="14" spans="2:5" ht="15" x14ac:dyDescent="0.2">
      <c r="B14" s="37">
        <v>12</v>
      </c>
      <c r="C14" s="73" t="s">
        <v>237</v>
      </c>
      <c r="D14" s="74" t="s">
        <v>238</v>
      </c>
      <c r="E14" s="60"/>
    </row>
    <row r="15" spans="2:5" ht="15" x14ac:dyDescent="0.2">
      <c r="B15" s="37">
        <v>13</v>
      </c>
      <c r="C15" s="73" t="s">
        <v>239</v>
      </c>
      <c r="D15" s="74" t="s">
        <v>240</v>
      </c>
      <c r="E15" s="60"/>
    </row>
    <row r="16" spans="2:5" ht="15" x14ac:dyDescent="0.2">
      <c r="B16" s="37">
        <v>14</v>
      </c>
      <c r="C16" s="73" t="s">
        <v>241</v>
      </c>
      <c r="D16" s="74" t="s">
        <v>242</v>
      </c>
      <c r="E16" s="60"/>
    </row>
    <row r="17" spans="2:4" ht="15" x14ac:dyDescent="0.2">
      <c r="B17" s="37">
        <v>15</v>
      </c>
      <c r="C17" s="73" t="s">
        <v>243</v>
      </c>
      <c r="D17" s="74" t="s">
        <v>244</v>
      </c>
    </row>
    <row r="18" spans="2:4" ht="15" x14ac:dyDescent="0.2">
      <c r="B18" s="37">
        <v>16</v>
      </c>
      <c r="C18" s="73" t="s">
        <v>245</v>
      </c>
      <c r="D18" s="74" t="s">
        <v>246</v>
      </c>
    </row>
    <row r="19" spans="2:4" ht="15" x14ac:dyDescent="0.2">
      <c r="B19" s="37">
        <v>17</v>
      </c>
      <c r="C19" s="73" t="s">
        <v>247</v>
      </c>
      <c r="D19" s="74" t="s">
        <v>248</v>
      </c>
    </row>
    <row r="20" spans="2:4" ht="15" x14ac:dyDescent="0.2">
      <c r="B20" s="37">
        <v>18</v>
      </c>
      <c r="C20" s="73" t="s">
        <v>249</v>
      </c>
      <c r="D20" s="74" t="s">
        <v>250</v>
      </c>
    </row>
    <row r="21" spans="2:4" ht="15" x14ac:dyDescent="0.2">
      <c r="B21" s="37">
        <v>19</v>
      </c>
      <c r="C21" s="73" t="s">
        <v>251</v>
      </c>
      <c r="D21" s="74" t="s">
        <v>252</v>
      </c>
    </row>
    <row r="22" spans="2:4" ht="15" x14ac:dyDescent="0.2">
      <c r="B22" s="37">
        <v>20</v>
      </c>
      <c r="C22" s="73" t="s">
        <v>253</v>
      </c>
      <c r="D22" s="74" t="s">
        <v>254</v>
      </c>
    </row>
    <row r="23" spans="2:4" ht="15" x14ac:dyDescent="0.2">
      <c r="B23" s="37">
        <v>21</v>
      </c>
      <c r="C23" s="73" t="s">
        <v>255</v>
      </c>
      <c r="D23" s="74" t="s">
        <v>256</v>
      </c>
    </row>
    <row r="24" spans="2:4" ht="15" x14ac:dyDescent="0.2">
      <c r="B24" s="37">
        <v>22</v>
      </c>
      <c r="C24" s="73" t="s">
        <v>257</v>
      </c>
      <c r="D24" s="74" t="s">
        <v>258</v>
      </c>
    </row>
    <row r="25" spans="2:4" ht="15" x14ac:dyDescent="0.2">
      <c r="B25" s="37">
        <v>23</v>
      </c>
      <c r="C25" s="73" t="s">
        <v>259</v>
      </c>
      <c r="D25" s="74" t="s">
        <v>260</v>
      </c>
    </row>
    <row r="26" spans="2:4" ht="15" x14ac:dyDescent="0.2">
      <c r="B26" s="37">
        <v>24</v>
      </c>
      <c r="C26" s="73" t="s">
        <v>261</v>
      </c>
      <c r="D26" s="74" t="s">
        <v>262</v>
      </c>
    </row>
    <row r="27" spans="2:4" ht="15" x14ac:dyDescent="0.2">
      <c r="B27" s="37">
        <v>25</v>
      </c>
      <c r="C27" s="73" t="s">
        <v>263</v>
      </c>
      <c r="D27" s="74" t="s">
        <v>264</v>
      </c>
    </row>
    <row r="28" spans="2:4" ht="15" x14ac:dyDescent="0.2">
      <c r="B28" s="37">
        <v>26</v>
      </c>
      <c r="C28" s="73" t="s">
        <v>265</v>
      </c>
      <c r="D28" s="74" t="s">
        <v>266</v>
      </c>
    </row>
    <row r="29" spans="2:4" ht="15" x14ac:dyDescent="0.2">
      <c r="B29" s="37">
        <v>27</v>
      </c>
      <c r="C29" s="73" t="s">
        <v>267</v>
      </c>
      <c r="D29" s="74" t="s">
        <v>268</v>
      </c>
    </row>
    <row r="30" spans="2:4" ht="15" x14ac:dyDescent="0.2">
      <c r="B30" s="37">
        <v>28</v>
      </c>
      <c r="C30" s="73" t="s">
        <v>269</v>
      </c>
      <c r="D30" s="74" t="s">
        <v>270</v>
      </c>
    </row>
    <row r="31" spans="2:4" ht="15" x14ac:dyDescent="0.2">
      <c r="B31" s="37">
        <v>29</v>
      </c>
      <c r="C31" s="73" t="s">
        <v>271</v>
      </c>
      <c r="D31" s="74" t="s">
        <v>272</v>
      </c>
    </row>
    <row r="32" spans="2:4" ht="15" x14ac:dyDescent="0.2">
      <c r="B32" s="37">
        <v>30</v>
      </c>
      <c r="C32" s="73" t="s">
        <v>273</v>
      </c>
      <c r="D32" s="74" t="s">
        <v>274</v>
      </c>
    </row>
    <row r="33" spans="2:4" ht="15" x14ac:dyDescent="0.2">
      <c r="B33" s="37">
        <v>31</v>
      </c>
      <c r="C33" s="73" t="s">
        <v>275</v>
      </c>
      <c r="D33" s="74" t="s">
        <v>276</v>
      </c>
    </row>
    <row r="34" spans="2:4" ht="15" x14ac:dyDescent="0.2">
      <c r="B34" s="37">
        <v>32</v>
      </c>
      <c r="C34" s="73" t="s">
        <v>277</v>
      </c>
      <c r="D34" s="74" t="s">
        <v>278</v>
      </c>
    </row>
    <row r="35" spans="2:4" ht="15" x14ac:dyDescent="0.2">
      <c r="B35" s="37">
        <v>33</v>
      </c>
      <c r="C35" s="73" t="s">
        <v>279</v>
      </c>
      <c r="D35" s="74" t="s">
        <v>280</v>
      </c>
    </row>
    <row r="36" spans="2:4" ht="15" x14ac:dyDescent="0.2">
      <c r="B36" s="37">
        <v>34</v>
      </c>
      <c r="C36" s="73" t="s">
        <v>281</v>
      </c>
      <c r="D36" s="74" t="s">
        <v>282</v>
      </c>
    </row>
    <row r="37" spans="2:4" ht="15" x14ac:dyDescent="0.2">
      <c r="B37" s="37">
        <v>35</v>
      </c>
      <c r="C37" s="73" t="s">
        <v>283</v>
      </c>
      <c r="D37" s="74" t="s">
        <v>284</v>
      </c>
    </row>
    <row r="38" spans="2:4" ht="15" x14ac:dyDescent="0.2">
      <c r="B38" s="37">
        <v>36</v>
      </c>
      <c r="C38" s="73" t="s">
        <v>285</v>
      </c>
      <c r="D38" s="74" t="s">
        <v>286</v>
      </c>
    </row>
    <row r="39" spans="2:4" ht="15" x14ac:dyDescent="0.2">
      <c r="B39" s="37">
        <v>37</v>
      </c>
      <c r="C39" s="73" t="s">
        <v>287</v>
      </c>
      <c r="D39" s="74" t="s">
        <v>288</v>
      </c>
    </row>
    <row r="40" spans="2:4" ht="15" x14ac:dyDescent="0.2">
      <c r="B40" s="37">
        <v>38</v>
      </c>
      <c r="C40" s="73" t="s">
        <v>289</v>
      </c>
      <c r="D40" s="74" t="s">
        <v>290</v>
      </c>
    </row>
    <row r="41" spans="2:4" ht="15" x14ac:dyDescent="0.2">
      <c r="B41" s="37">
        <v>39</v>
      </c>
      <c r="C41" s="73" t="s">
        <v>291</v>
      </c>
      <c r="D41" s="74" t="s">
        <v>292</v>
      </c>
    </row>
    <row r="42" spans="2:4" ht="15" x14ac:dyDescent="0.2">
      <c r="B42" s="37">
        <v>40</v>
      </c>
      <c r="C42" s="73" t="s">
        <v>293</v>
      </c>
      <c r="D42" s="74" t="s">
        <v>294</v>
      </c>
    </row>
    <row r="43" spans="2:4" ht="15" x14ac:dyDescent="0.2">
      <c r="B43" s="37">
        <v>41</v>
      </c>
      <c r="C43" s="73" t="s">
        <v>295</v>
      </c>
      <c r="D43" s="74" t="s">
        <v>296</v>
      </c>
    </row>
    <row r="44" spans="2:4" ht="15" x14ac:dyDescent="0.2">
      <c r="B44" s="37">
        <v>42</v>
      </c>
      <c r="C44" s="73" t="s">
        <v>297</v>
      </c>
      <c r="D44" s="74" t="s">
        <v>298</v>
      </c>
    </row>
    <row r="45" spans="2:4" ht="15" x14ac:dyDescent="0.2">
      <c r="B45" s="37">
        <v>43</v>
      </c>
      <c r="C45" s="73" t="s">
        <v>299</v>
      </c>
      <c r="D45" s="74" t="s">
        <v>300</v>
      </c>
    </row>
    <row r="46" spans="2:4" ht="15" x14ac:dyDescent="0.2">
      <c r="B46" s="37">
        <v>44</v>
      </c>
      <c r="C46" s="73" t="s">
        <v>301</v>
      </c>
      <c r="D46" s="74" t="s">
        <v>302</v>
      </c>
    </row>
    <row r="47" spans="2:4" ht="15" x14ac:dyDescent="0.2">
      <c r="B47" s="37">
        <v>45</v>
      </c>
      <c r="C47" s="73" t="s">
        <v>303</v>
      </c>
      <c r="D47" s="74" t="s">
        <v>304</v>
      </c>
    </row>
    <row r="48" spans="2:4" ht="15" x14ac:dyDescent="0.2">
      <c r="B48" s="37">
        <v>46</v>
      </c>
      <c r="C48" s="73" t="s">
        <v>305</v>
      </c>
      <c r="D48" s="74" t="s">
        <v>306</v>
      </c>
    </row>
    <row r="49" spans="2:4" ht="15" x14ac:dyDescent="0.2">
      <c r="B49" s="37">
        <v>47</v>
      </c>
      <c r="C49" s="73" t="s">
        <v>307</v>
      </c>
      <c r="D49" s="74" t="s">
        <v>308</v>
      </c>
    </row>
    <row r="50" spans="2:4" ht="15" x14ac:dyDescent="0.2">
      <c r="B50" s="37">
        <v>48</v>
      </c>
      <c r="C50" s="73" t="s">
        <v>309</v>
      </c>
      <c r="D50" s="74" t="s">
        <v>310</v>
      </c>
    </row>
    <row r="51" spans="2:4" ht="15" x14ac:dyDescent="0.2">
      <c r="B51" s="37">
        <v>49</v>
      </c>
      <c r="C51" s="73" t="s">
        <v>311</v>
      </c>
      <c r="D51" s="74" t="s">
        <v>312</v>
      </c>
    </row>
    <row r="52" spans="2:4" ht="15" x14ac:dyDescent="0.2">
      <c r="B52" s="37">
        <v>50</v>
      </c>
      <c r="C52" s="73" t="s">
        <v>313</v>
      </c>
      <c r="D52" s="74" t="s">
        <v>314</v>
      </c>
    </row>
    <row r="53" spans="2:4" ht="15" x14ac:dyDescent="0.2">
      <c r="B53" s="37">
        <v>51</v>
      </c>
      <c r="C53" s="73" t="s">
        <v>315</v>
      </c>
      <c r="D53" s="74" t="s">
        <v>316</v>
      </c>
    </row>
    <row r="54" spans="2:4" ht="15" x14ac:dyDescent="0.2">
      <c r="B54" s="37">
        <v>52</v>
      </c>
      <c r="C54" s="73" t="s">
        <v>317</v>
      </c>
      <c r="D54" s="74" t="s">
        <v>318</v>
      </c>
    </row>
    <row r="55" spans="2:4" ht="15" x14ac:dyDescent="0.2">
      <c r="B55" s="37">
        <v>53</v>
      </c>
      <c r="C55" s="73" t="s">
        <v>319</v>
      </c>
      <c r="D55" s="74" t="s">
        <v>320</v>
      </c>
    </row>
    <row r="56" spans="2:4" ht="15" x14ac:dyDescent="0.2">
      <c r="B56" s="37">
        <v>54</v>
      </c>
      <c r="C56" s="42" t="s">
        <v>321</v>
      </c>
      <c r="D56" s="81" t="s">
        <v>322</v>
      </c>
    </row>
    <row r="57" spans="2:4" ht="15" x14ac:dyDescent="0.2">
      <c r="B57" s="37">
        <v>55</v>
      </c>
      <c r="C57" s="42" t="s">
        <v>323</v>
      </c>
      <c r="D57" s="81" t="s">
        <v>324</v>
      </c>
    </row>
    <row r="58" spans="2:4" ht="15" x14ac:dyDescent="0.2">
      <c r="B58" s="37">
        <v>56</v>
      </c>
      <c r="C58" s="42" t="s">
        <v>325</v>
      </c>
      <c r="D58" s="81" t="s">
        <v>326</v>
      </c>
    </row>
    <row r="59" spans="2:4" ht="45" x14ac:dyDescent="0.2">
      <c r="B59" s="37">
        <v>57</v>
      </c>
      <c r="C59" s="42" t="s">
        <v>327</v>
      </c>
      <c r="D59" s="81" t="s">
        <v>328</v>
      </c>
    </row>
    <row r="60" spans="2:4" ht="41.5" customHeight="1" x14ac:dyDescent="0.2">
      <c r="B60" s="37">
        <v>58</v>
      </c>
      <c r="C60" s="42" t="s">
        <v>329</v>
      </c>
      <c r="D60" s="81" t="s">
        <v>330</v>
      </c>
    </row>
    <row r="61" spans="2:4" ht="43.5" customHeight="1" x14ac:dyDescent="0.2">
      <c r="B61" s="37">
        <v>59</v>
      </c>
      <c r="C61" s="42" t="s">
        <v>331</v>
      </c>
      <c r="D61" s="81" t="s">
        <v>332</v>
      </c>
    </row>
    <row r="62" spans="2:4" ht="32.5" customHeight="1" x14ac:dyDescent="0.2">
      <c r="B62" s="37">
        <v>60</v>
      </c>
      <c r="C62" s="42" t="s">
        <v>333</v>
      </c>
      <c r="D62" s="81" t="s">
        <v>334</v>
      </c>
    </row>
    <row r="63" spans="2:4" ht="48" customHeight="1" x14ac:dyDescent="0.2">
      <c r="B63" s="37">
        <v>61</v>
      </c>
      <c r="C63" s="42" t="s">
        <v>335</v>
      </c>
      <c r="D63" s="81" t="s">
        <v>336</v>
      </c>
    </row>
    <row r="64" spans="2:4" ht="34" customHeight="1" x14ac:dyDescent="0.2">
      <c r="B64" s="37">
        <v>62</v>
      </c>
      <c r="C64" s="42" t="s">
        <v>337</v>
      </c>
      <c r="D64" s="81" t="s">
        <v>338</v>
      </c>
    </row>
    <row r="65" spans="2:4" ht="32" customHeight="1" x14ac:dyDescent="0.2">
      <c r="B65" s="37">
        <v>63</v>
      </c>
      <c r="C65" s="42" t="s">
        <v>339</v>
      </c>
      <c r="D65" s="81" t="s">
        <v>340</v>
      </c>
    </row>
    <row r="66" spans="2:4" ht="24.5" customHeight="1" x14ac:dyDescent="0.2">
      <c r="B66" s="37">
        <v>64</v>
      </c>
      <c r="C66" s="42" t="s">
        <v>341</v>
      </c>
      <c r="D66" s="81" t="s">
        <v>342</v>
      </c>
    </row>
    <row r="67" spans="2:4" ht="111.5" customHeight="1" x14ac:dyDescent="0.2">
      <c r="B67" s="37">
        <v>65</v>
      </c>
      <c r="C67" s="42" t="s">
        <v>343</v>
      </c>
      <c r="D67" s="81" t="s">
        <v>344</v>
      </c>
    </row>
    <row r="68" spans="2:4" ht="16" thickBot="1" x14ac:dyDescent="0.25">
      <c r="B68" s="38">
        <v>66</v>
      </c>
      <c r="C68" s="75" t="s">
        <v>345</v>
      </c>
      <c r="D68" s="76" t="s">
        <v>346</v>
      </c>
    </row>
    <row r="69" spans="2:4" x14ac:dyDescent="0.2"/>
  </sheetData>
  <mergeCells count="1">
    <mergeCell ref="C2:D2"/>
  </mergeCells>
  <hyperlinks>
    <hyperlink ref="E2" location="Index!A1" display="Click For Index" xr:uid="{EBC24CA4-8782-4A0B-A42B-1B0F916195D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A1E4E-D9C3-498B-8E17-9B9E3176CC63}">
  <sheetPr codeName="Sheet8">
    <tabColor theme="5" tint="-0.249977111117893"/>
  </sheetPr>
  <dimension ref="A1:I148"/>
  <sheetViews>
    <sheetView showGridLines="0" topLeftCell="A66" zoomScale="70" zoomScaleNormal="70" workbookViewId="0">
      <selection activeCell="D98" sqref="D98"/>
    </sheetView>
  </sheetViews>
  <sheetFormatPr baseColWidth="10" defaultColWidth="0" defaultRowHeight="0" customHeight="1" zeroHeight="1" x14ac:dyDescent="0.15"/>
  <cols>
    <col min="1" max="1" width="1.1640625" style="10" customWidth="1"/>
    <col min="2" max="2" width="5.83203125" style="10" bestFit="1" customWidth="1"/>
    <col min="3" max="3" width="30.1640625" style="10" customWidth="1"/>
    <col min="4" max="4" width="24.1640625" style="10" customWidth="1"/>
    <col min="5" max="5" width="24.6640625" style="10" customWidth="1"/>
    <col min="6" max="6" width="126" style="10" customWidth="1"/>
    <col min="7" max="8" width="8.6640625" style="10" customWidth="1"/>
    <col min="9" max="9" width="0" style="10" hidden="1" customWidth="1"/>
    <col min="10" max="16384" width="8.6640625" style="10" hidden="1"/>
  </cols>
  <sheetData>
    <row r="1" spans="2:6" ht="7.5" customHeight="1" thickBot="1" x14ac:dyDescent="0.2"/>
    <row r="2" spans="2:6" ht="14" x14ac:dyDescent="0.15">
      <c r="B2" s="40" t="s">
        <v>35</v>
      </c>
      <c r="C2" s="41" t="s">
        <v>347</v>
      </c>
      <c r="D2" s="90" t="s">
        <v>38</v>
      </c>
      <c r="E2" s="91"/>
      <c r="F2" s="59" t="s">
        <v>31</v>
      </c>
    </row>
    <row r="3" spans="2:6" ht="28.5" customHeight="1" x14ac:dyDescent="0.15">
      <c r="B3" s="37">
        <v>1</v>
      </c>
      <c r="C3" s="42" t="s">
        <v>348</v>
      </c>
      <c r="D3" s="86" t="s">
        <v>349</v>
      </c>
      <c r="E3" s="87"/>
    </row>
    <row r="4" spans="2:6" ht="28.5" customHeight="1" x14ac:dyDescent="0.15">
      <c r="B4" s="37">
        <v>2</v>
      </c>
      <c r="C4" s="42" t="s">
        <v>350</v>
      </c>
      <c r="D4" s="86" t="s">
        <v>351</v>
      </c>
      <c r="E4" s="87"/>
    </row>
    <row r="5" spans="2:6" ht="28.5" customHeight="1" x14ac:dyDescent="0.15">
      <c r="B5" s="37">
        <v>3</v>
      </c>
      <c r="C5" s="42" t="s">
        <v>352</v>
      </c>
      <c r="D5" s="86" t="s">
        <v>353</v>
      </c>
      <c r="E5" s="87"/>
    </row>
    <row r="6" spans="2:6" ht="28.5" customHeight="1" x14ac:dyDescent="0.15">
      <c r="B6" s="37">
        <v>4</v>
      </c>
      <c r="C6" s="42" t="s">
        <v>354</v>
      </c>
      <c r="D6" s="86" t="s">
        <v>355</v>
      </c>
      <c r="E6" s="87"/>
    </row>
    <row r="7" spans="2:6" ht="28.5" customHeight="1" x14ac:dyDescent="0.15">
      <c r="B7" s="37">
        <v>5</v>
      </c>
      <c r="C7" s="42" t="s">
        <v>356</v>
      </c>
      <c r="D7" s="86" t="s">
        <v>357</v>
      </c>
      <c r="E7" s="87"/>
    </row>
    <row r="8" spans="2:6" ht="28.5" customHeight="1" x14ac:dyDescent="0.15">
      <c r="B8" s="37">
        <v>6</v>
      </c>
      <c r="C8" s="42" t="s">
        <v>358</v>
      </c>
      <c r="D8" s="86" t="s">
        <v>359</v>
      </c>
      <c r="E8" s="87"/>
    </row>
    <row r="9" spans="2:6" ht="28.5" customHeight="1" x14ac:dyDescent="0.15">
      <c r="B9" s="37">
        <v>7</v>
      </c>
      <c r="C9" s="42" t="s">
        <v>360</v>
      </c>
      <c r="D9" s="86" t="s">
        <v>361</v>
      </c>
      <c r="E9" s="87"/>
    </row>
    <row r="10" spans="2:6" ht="28.5" customHeight="1" x14ac:dyDescent="0.15">
      <c r="B10" s="37">
        <v>8</v>
      </c>
      <c r="C10" s="42" t="s">
        <v>362</v>
      </c>
      <c r="D10" s="86" t="s">
        <v>363</v>
      </c>
      <c r="E10" s="87"/>
    </row>
    <row r="11" spans="2:6" ht="28.5" customHeight="1" x14ac:dyDescent="0.15">
      <c r="B11" s="37">
        <v>9</v>
      </c>
      <c r="C11" s="42" t="s">
        <v>364</v>
      </c>
      <c r="D11" s="86" t="s">
        <v>365</v>
      </c>
      <c r="E11" s="87"/>
    </row>
    <row r="12" spans="2:6" ht="28.5" customHeight="1" x14ac:dyDescent="0.15">
      <c r="B12" s="37">
        <v>10</v>
      </c>
      <c r="C12" s="42" t="s">
        <v>366</v>
      </c>
      <c r="D12" s="86" t="s">
        <v>367</v>
      </c>
      <c r="E12" s="87"/>
    </row>
    <row r="13" spans="2:6" ht="28.5" customHeight="1" x14ac:dyDescent="0.15">
      <c r="B13" s="37">
        <v>11</v>
      </c>
      <c r="C13" s="42" t="s">
        <v>368</v>
      </c>
      <c r="D13" s="86" t="s">
        <v>369</v>
      </c>
      <c r="E13" s="87"/>
    </row>
    <row r="14" spans="2:6" ht="28.5" customHeight="1" x14ac:dyDescent="0.15">
      <c r="B14" s="37">
        <v>12</v>
      </c>
      <c r="C14" s="42" t="s">
        <v>370</v>
      </c>
      <c r="D14" s="86" t="s">
        <v>371</v>
      </c>
      <c r="E14" s="87"/>
    </row>
    <row r="15" spans="2:6" ht="28.5" customHeight="1" x14ac:dyDescent="0.15">
      <c r="B15" s="37">
        <v>13</v>
      </c>
      <c r="C15" s="42" t="s">
        <v>372</v>
      </c>
      <c r="D15" s="86" t="s">
        <v>373</v>
      </c>
      <c r="E15" s="87"/>
    </row>
    <row r="16" spans="2:6" ht="28.5" customHeight="1" x14ac:dyDescent="0.15">
      <c r="B16" s="37">
        <v>14</v>
      </c>
      <c r="C16" s="42" t="s">
        <v>374</v>
      </c>
      <c r="D16" s="86" t="s">
        <v>375</v>
      </c>
      <c r="E16" s="87"/>
    </row>
    <row r="17" spans="1:6" ht="28.5" customHeight="1" thickBot="1" x14ac:dyDescent="0.2">
      <c r="B17" s="38">
        <v>15</v>
      </c>
      <c r="C17" s="43" t="s">
        <v>376</v>
      </c>
      <c r="D17" s="88" t="s">
        <v>377</v>
      </c>
      <c r="E17" s="89"/>
    </row>
    <row r="18" spans="1:6" ht="15" thickBot="1" x14ac:dyDescent="0.2"/>
    <row r="19" spans="1:6" ht="15" x14ac:dyDescent="0.15">
      <c r="A19" s="82"/>
      <c r="B19" s="49" t="s">
        <v>35</v>
      </c>
      <c r="C19" s="50" t="s">
        <v>378</v>
      </c>
      <c r="D19" s="50" t="s">
        <v>379</v>
      </c>
      <c r="E19" s="50" t="s">
        <v>380</v>
      </c>
      <c r="F19" s="51"/>
    </row>
    <row r="20" spans="1:6" s="46" customFormat="1" ht="104" customHeight="1" x14ac:dyDescent="0.2">
      <c r="B20" s="52">
        <v>1</v>
      </c>
      <c r="C20" s="53" t="s">
        <v>40</v>
      </c>
      <c r="D20" s="78" t="s">
        <v>381</v>
      </c>
      <c r="E20" s="78" t="s">
        <v>382</v>
      </c>
      <c r="F20" s="79" t="s">
        <v>383</v>
      </c>
    </row>
    <row r="21" spans="1:6" s="46" customFormat="1" ht="104" customHeight="1" x14ac:dyDescent="0.2">
      <c r="B21" s="52">
        <v>2</v>
      </c>
      <c r="C21" s="53" t="s">
        <v>41</v>
      </c>
      <c r="D21" s="78" t="s">
        <v>381</v>
      </c>
      <c r="E21" s="78" t="s">
        <v>382</v>
      </c>
      <c r="F21" s="79" t="s">
        <v>384</v>
      </c>
    </row>
    <row r="22" spans="1:6" s="46" customFormat="1" ht="104" customHeight="1" x14ac:dyDescent="0.2">
      <c r="B22" s="52">
        <v>3</v>
      </c>
      <c r="C22" s="53" t="s">
        <v>42</v>
      </c>
      <c r="D22" s="78" t="s">
        <v>381</v>
      </c>
      <c r="E22" s="78" t="s">
        <v>385</v>
      </c>
      <c r="F22" s="79" t="s">
        <v>386</v>
      </c>
    </row>
    <row r="23" spans="1:6" s="46" customFormat="1" ht="104" customHeight="1" x14ac:dyDescent="0.2">
      <c r="B23" s="52">
        <v>4</v>
      </c>
      <c r="C23" s="53" t="s">
        <v>43</v>
      </c>
      <c r="D23" s="78" t="s">
        <v>381</v>
      </c>
      <c r="E23" s="78" t="s">
        <v>385</v>
      </c>
      <c r="F23" s="79" t="s">
        <v>387</v>
      </c>
    </row>
    <row r="24" spans="1:6" s="46" customFormat="1" ht="190" customHeight="1" x14ac:dyDescent="0.2">
      <c r="B24" s="52">
        <v>5</v>
      </c>
      <c r="C24" s="53" t="s">
        <v>44</v>
      </c>
      <c r="D24" s="78" t="s">
        <v>381</v>
      </c>
      <c r="E24" s="78" t="s">
        <v>388</v>
      </c>
      <c r="F24" s="79" t="s">
        <v>389</v>
      </c>
    </row>
    <row r="25" spans="1:6" s="46" customFormat="1" ht="104" customHeight="1" x14ac:dyDescent="0.2">
      <c r="B25" s="52">
        <v>6</v>
      </c>
      <c r="C25" s="53" t="s">
        <v>45</v>
      </c>
      <c r="D25" s="78" t="s">
        <v>381</v>
      </c>
      <c r="E25" s="78" t="s">
        <v>390</v>
      </c>
      <c r="F25" s="79" t="s">
        <v>391</v>
      </c>
    </row>
    <row r="26" spans="1:6" s="46" customFormat="1" ht="104" customHeight="1" x14ac:dyDescent="0.2">
      <c r="B26" s="52">
        <v>7</v>
      </c>
      <c r="C26" s="53" t="s">
        <v>46</v>
      </c>
      <c r="D26" s="78" t="s">
        <v>381</v>
      </c>
      <c r="E26" s="78" t="s">
        <v>392</v>
      </c>
      <c r="F26" s="79" t="s">
        <v>393</v>
      </c>
    </row>
    <row r="27" spans="1:6" s="46" customFormat="1" ht="104" customHeight="1" x14ac:dyDescent="0.2">
      <c r="B27" s="52">
        <v>8</v>
      </c>
      <c r="C27" s="53" t="s">
        <v>47</v>
      </c>
      <c r="D27" s="78" t="s">
        <v>381</v>
      </c>
      <c r="E27" s="78" t="s">
        <v>394</v>
      </c>
      <c r="F27" s="79" t="s">
        <v>395</v>
      </c>
    </row>
    <row r="28" spans="1:6" s="46" customFormat="1" ht="104" customHeight="1" x14ac:dyDescent="0.2">
      <c r="B28" s="52">
        <v>9</v>
      </c>
      <c r="C28" s="53" t="s">
        <v>48</v>
      </c>
      <c r="D28" s="78" t="s">
        <v>381</v>
      </c>
      <c r="E28" s="78" t="s">
        <v>396</v>
      </c>
      <c r="F28" s="79" t="s">
        <v>397</v>
      </c>
    </row>
    <row r="29" spans="1:6" s="46" customFormat="1" ht="104" customHeight="1" x14ac:dyDescent="0.2">
      <c r="B29" s="52">
        <v>10</v>
      </c>
      <c r="C29" s="53" t="s">
        <v>49</v>
      </c>
      <c r="D29" s="78" t="s">
        <v>381</v>
      </c>
      <c r="E29" s="78" t="s">
        <v>398</v>
      </c>
      <c r="F29" s="79" t="s">
        <v>399</v>
      </c>
    </row>
    <row r="30" spans="1:6" s="46" customFormat="1" ht="104" customHeight="1" x14ac:dyDescent="0.2">
      <c r="B30" s="52">
        <v>11</v>
      </c>
      <c r="C30" s="53" t="s">
        <v>50</v>
      </c>
      <c r="D30" s="78" t="s">
        <v>381</v>
      </c>
      <c r="E30" s="78" t="s">
        <v>400</v>
      </c>
      <c r="F30" s="79" t="s">
        <v>401</v>
      </c>
    </row>
    <row r="31" spans="1:6" s="46" customFormat="1" ht="104" customHeight="1" x14ac:dyDescent="0.2">
      <c r="B31" s="52">
        <v>12</v>
      </c>
      <c r="C31" s="53" t="s">
        <v>51</v>
      </c>
      <c r="D31" s="78" t="s">
        <v>381</v>
      </c>
      <c r="E31" s="78" t="s">
        <v>388</v>
      </c>
      <c r="F31" s="79" t="s">
        <v>402</v>
      </c>
    </row>
    <row r="32" spans="1:6" s="46" customFormat="1" ht="104" customHeight="1" x14ac:dyDescent="0.2">
      <c r="B32" s="52">
        <v>13</v>
      </c>
      <c r="C32" s="53" t="s">
        <v>52</v>
      </c>
      <c r="D32" s="78" t="s">
        <v>381</v>
      </c>
      <c r="E32" s="78" t="s">
        <v>398</v>
      </c>
      <c r="F32" s="79" t="s">
        <v>403</v>
      </c>
    </row>
    <row r="33" spans="2:6" s="46" customFormat="1" ht="104" customHeight="1" x14ac:dyDescent="0.2">
      <c r="B33" s="52">
        <v>14</v>
      </c>
      <c r="C33" s="53" t="s">
        <v>53</v>
      </c>
      <c r="D33" s="78" t="s">
        <v>381</v>
      </c>
      <c r="E33" s="78" t="s">
        <v>382</v>
      </c>
      <c r="F33" s="79" t="s">
        <v>404</v>
      </c>
    </row>
    <row r="34" spans="2:6" s="46" customFormat="1" ht="104" customHeight="1" x14ac:dyDescent="0.2">
      <c r="B34" s="52">
        <v>15</v>
      </c>
      <c r="C34" s="53" t="s">
        <v>55</v>
      </c>
      <c r="D34" s="54" t="s">
        <v>405</v>
      </c>
      <c r="E34" s="54" t="s">
        <v>406</v>
      </c>
      <c r="F34" s="55" t="s">
        <v>407</v>
      </c>
    </row>
    <row r="35" spans="2:6" s="46" customFormat="1" ht="104" customHeight="1" x14ac:dyDescent="0.2">
      <c r="B35" s="52">
        <v>16</v>
      </c>
      <c r="C35" s="53" t="s">
        <v>56</v>
      </c>
      <c r="D35" s="54" t="s">
        <v>405</v>
      </c>
      <c r="E35" s="54" t="s">
        <v>408</v>
      </c>
      <c r="F35" s="55" t="s">
        <v>409</v>
      </c>
    </row>
    <row r="36" spans="2:6" s="46" customFormat="1" ht="143.5" customHeight="1" x14ac:dyDescent="0.2">
      <c r="B36" s="52">
        <v>17</v>
      </c>
      <c r="C36" s="53" t="s">
        <v>57</v>
      </c>
      <c r="D36" s="54" t="s">
        <v>405</v>
      </c>
      <c r="E36" s="54" t="s">
        <v>410</v>
      </c>
      <c r="F36" s="55" t="s">
        <v>411</v>
      </c>
    </row>
    <row r="37" spans="2:6" s="46" customFormat="1" ht="104" customHeight="1" x14ac:dyDescent="0.2">
      <c r="B37" s="52">
        <v>18</v>
      </c>
      <c r="C37" s="53" t="s">
        <v>58</v>
      </c>
      <c r="D37" s="54" t="s">
        <v>405</v>
      </c>
      <c r="E37" s="54" t="s">
        <v>412</v>
      </c>
      <c r="F37" s="55" t="s">
        <v>413</v>
      </c>
    </row>
    <row r="38" spans="2:6" s="46" customFormat="1" ht="107" customHeight="1" x14ac:dyDescent="0.2">
      <c r="B38" s="52">
        <v>19</v>
      </c>
      <c r="C38" s="53" t="s">
        <v>59</v>
      </c>
      <c r="D38" s="54" t="s">
        <v>405</v>
      </c>
      <c r="E38" s="54" t="s">
        <v>406</v>
      </c>
      <c r="F38" s="55" t="s">
        <v>414</v>
      </c>
    </row>
    <row r="39" spans="2:6" s="46" customFormat="1" ht="104" customHeight="1" x14ac:dyDescent="0.2">
      <c r="B39" s="52">
        <v>20</v>
      </c>
      <c r="C39" s="53" t="s">
        <v>60</v>
      </c>
      <c r="D39" s="54" t="s">
        <v>405</v>
      </c>
      <c r="E39" s="54" t="s">
        <v>415</v>
      </c>
      <c r="F39" s="55" t="s">
        <v>416</v>
      </c>
    </row>
    <row r="40" spans="2:6" s="46" customFormat="1" ht="233.5" customHeight="1" x14ac:dyDescent="0.2">
      <c r="B40" s="52">
        <v>21</v>
      </c>
      <c r="C40" s="53" t="s">
        <v>61</v>
      </c>
      <c r="D40" s="54" t="s">
        <v>405</v>
      </c>
      <c r="E40" s="54" t="s">
        <v>417</v>
      </c>
      <c r="F40" s="55" t="s">
        <v>418</v>
      </c>
    </row>
    <row r="41" spans="2:6" s="46" customFormat="1" ht="104" customHeight="1" x14ac:dyDescent="0.2">
      <c r="B41" s="52">
        <v>22</v>
      </c>
      <c r="C41" s="53" t="s">
        <v>62</v>
      </c>
      <c r="D41" s="54" t="s">
        <v>405</v>
      </c>
      <c r="E41" s="54" t="s">
        <v>419</v>
      </c>
      <c r="F41" s="55" t="s">
        <v>420</v>
      </c>
    </row>
    <row r="42" spans="2:6" s="46" customFormat="1" ht="104" customHeight="1" x14ac:dyDescent="0.2">
      <c r="B42" s="52">
        <v>23</v>
      </c>
      <c r="C42" s="53" t="s">
        <v>63</v>
      </c>
      <c r="D42" s="54" t="s">
        <v>405</v>
      </c>
      <c r="E42" s="54" t="s">
        <v>412</v>
      </c>
      <c r="F42" s="55" t="s">
        <v>421</v>
      </c>
    </row>
    <row r="43" spans="2:6" s="46" customFormat="1" ht="104" customHeight="1" x14ac:dyDescent="0.2">
      <c r="B43" s="52">
        <v>24</v>
      </c>
      <c r="C43" s="53" t="s">
        <v>64</v>
      </c>
      <c r="D43" s="54" t="s">
        <v>405</v>
      </c>
      <c r="E43" s="54" t="s">
        <v>422</v>
      </c>
      <c r="F43" s="55" t="s">
        <v>423</v>
      </c>
    </row>
    <row r="44" spans="2:6" s="46" customFormat="1" ht="104" customHeight="1" x14ac:dyDescent="0.2">
      <c r="B44" s="52">
        <v>25</v>
      </c>
      <c r="C44" s="53" t="s">
        <v>65</v>
      </c>
      <c r="D44" s="54" t="s">
        <v>405</v>
      </c>
      <c r="E44" s="54" t="s">
        <v>424</v>
      </c>
      <c r="F44" s="55" t="s">
        <v>425</v>
      </c>
    </row>
    <row r="45" spans="2:6" s="46" customFormat="1" ht="104" customHeight="1" x14ac:dyDescent="0.2">
      <c r="B45" s="52">
        <v>26</v>
      </c>
      <c r="C45" s="53" t="s">
        <v>66</v>
      </c>
      <c r="D45" s="54" t="s">
        <v>405</v>
      </c>
      <c r="E45" s="54" t="s">
        <v>426</v>
      </c>
      <c r="F45" s="55" t="s">
        <v>427</v>
      </c>
    </row>
    <row r="46" spans="2:6" s="46" customFormat="1" ht="104" customHeight="1" x14ac:dyDescent="0.2">
      <c r="B46" s="52">
        <v>27</v>
      </c>
      <c r="C46" s="53" t="s">
        <v>67</v>
      </c>
      <c r="D46" s="54" t="s">
        <v>405</v>
      </c>
      <c r="E46" s="54" t="s">
        <v>428</v>
      </c>
      <c r="F46" s="55" t="s">
        <v>429</v>
      </c>
    </row>
    <row r="47" spans="2:6" s="46" customFormat="1" ht="104" customHeight="1" x14ac:dyDescent="0.2">
      <c r="B47" s="52">
        <v>28</v>
      </c>
      <c r="C47" s="53" t="s">
        <v>69</v>
      </c>
      <c r="D47" s="54" t="s">
        <v>430</v>
      </c>
      <c r="E47" s="54" t="s">
        <v>229</v>
      </c>
      <c r="F47" s="55" t="s">
        <v>431</v>
      </c>
    </row>
    <row r="48" spans="2:6" s="46" customFormat="1" ht="104" customHeight="1" x14ac:dyDescent="0.2">
      <c r="B48" s="52">
        <v>29</v>
      </c>
      <c r="C48" s="53" t="s">
        <v>70</v>
      </c>
      <c r="D48" s="54" t="s">
        <v>430</v>
      </c>
      <c r="E48" s="54" t="s">
        <v>432</v>
      </c>
      <c r="F48" s="55" t="s">
        <v>433</v>
      </c>
    </row>
    <row r="49" spans="2:6" s="46" customFormat="1" ht="104" customHeight="1" x14ac:dyDescent="0.2">
      <c r="B49" s="52">
        <v>30</v>
      </c>
      <c r="C49" s="53" t="s">
        <v>71</v>
      </c>
      <c r="D49" s="54" t="s">
        <v>430</v>
      </c>
      <c r="E49" s="54" t="s">
        <v>428</v>
      </c>
      <c r="F49" s="55" t="s">
        <v>434</v>
      </c>
    </row>
    <row r="50" spans="2:6" s="46" customFormat="1" ht="104" customHeight="1" x14ac:dyDescent="0.2">
      <c r="B50" s="52">
        <v>31</v>
      </c>
      <c r="C50" s="53" t="s">
        <v>72</v>
      </c>
      <c r="D50" s="54" t="s">
        <v>430</v>
      </c>
      <c r="E50" s="54" t="s">
        <v>435</v>
      </c>
      <c r="F50" s="55" t="s">
        <v>436</v>
      </c>
    </row>
    <row r="51" spans="2:6" s="46" customFormat="1" ht="104" customHeight="1" x14ac:dyDescent="0.2">
      <c r="B51" s="52">
        <v>32</v>
      </c>
      <c r="C51" s="53" t="s">
        <v>73</v>
      </c>
      <c r="D51" s="54" t="s">
        <v>430</v>
      </c>
      <c r="E51" s="54" t="s">
        <v>390</v>
      </c>
      <c r="F51" s="55" t="s">
        <v>437</v>
      </c>
    </row>
    <row r="52" spans="2:6" s="46" customFormat="1" ht="104" customHeight="1" x14ac:dyDescent="0.2">
      <c r="B52" s="52">
        <v>33</v>
      </c>
      <c r="C52" s="53" t="s">
        <v>74</v>
      </c>
      <c r="D52" s="54" t="s">
        <v>430</v>
      </c>
      <c r="E52" s="54" t="s">
        <v>419</v>
      </c>
      <c r="F52" s="55" t="s">
        <v>438</v>
      </c>
    </row>
    <row r="53" spans="2:6" s="46" customFormat="1" ht="104" customHeight="1" x14ac:dyDescent="0.2">
      <c r="B53" s="52">
        <v>34</v>
      </c>
      <c r="C53" s="53" t="s">
        <v>75</v>
      </c>
      <c r="D53" s="54" t="s">
        <v>430</v>
      </c>
      <c r="E53" s="54" t="s">
        <v>439</v>
      </c>
      <c r="F53" s="55" t="s">
        <v>440</v>
      </c>
    </row>
    <row r="54" spans="2:6" s="46" customFormat="1" ht="129.5" customHeight="1" x14ac:dyDescent="0.2">
      <c r="B54" s="52">
        <v>35</v>
      </c>
      <c r="C54" s="53" t="s">
        <v>76</v>
      </c>
      <c r="D54" s="54" t="s">
        <v>430</v>
      </c>
      <c r="E54" s="54" t="s">
        <v>441</v>
      </c>
      <c r="F54" s="55" t="s">
        <v>442</v>
      </c>
    </row>
    <row r="55" spans="2:6" s="46" customFormat="1" ht="129.5" customHeight="1" x14ac:dyDescent="0.2">
      <c r="B55" s="52">
        <v>36</v>
      </c>
      <c r="C55" s="53" t="s">
        <v>77</v>
      </c>
      <c r="D55" s="54" t="s">
        <v>430</v>
      </c>
      <c r="E55" s="54" t="s">
        <v>398</v>
      </c>
      <c r="F55" s="55" t="s">
        <v>443</v>
      </c>
    </row>
    <row r="56" spans="2:6" s="46" customFormat="1" ht="199" customHeight="1" x14ac:dyDescent="0.2">
      <c r="B56" s="52">
        <v>37</v>
      </c>
      <c r="C56" s="53" t="s">
        <v>78</v>
      </c>
      <c r="D56" s="54" t="s">
        <v>430</v>
      </c>
      <c r="E56" s="54" t="s">
        <v>424</v>
      </c>
      <c r="F56" s="55" t="s">
        <v>444</v>
      </c>
    </row>
    <row r="57" spans="2:6" s="46" customFormat="1" ht="104" customHeight="1" x14ac:dyDescent="0.2">
      <c r="B57" s="52">
        <v>38</v>
      </c>
      <c r="C57" s="53" t="s">
        <v>79</v>
      </c>
      <c r="D57" s="54" t="s">
        <v>430</v>
      </c>
      <c r="E57" s="54" t="s">
        <v>445</v>
      </c>
      <c r="F57" s="55" t="s">
        <v>446</v>
      </c>
    </row>
    <row r="58" spans="2:6" s="46" customFormat="1" ht="104" customHeight="1" x14ac:dyDescent="0.2">
      <c r="B58" s="52">
        <v>39</v>
      </c>
      <c r="C58" s="53" t="s">
        <v>80</v>
      </c>
      <c r="D58" s="54" t="s">
        <v>430</v>
      </c>
      <c r="E58" s="54" t="s">
        <v>424</v>
      </c>
      <c r="F58" s="55" t="s">
        <v>447</v>
      </c>
    </row>
    <row r="59" spans="2:6" s="46" customFormat="1" ht="139.5" customHeight="1" x14ac:dyDescent="0.2">
      <c r="B59" s="52">
        <v>40</v>
      </c>
      <c r="C59" s="53" t="s">
        <v>81</v>
      </c>
      <c r="D59" s="54" t="s">
        <v>430</v>
      </c>
      <c r="E59" s="54" t="s">
        <v>448</v>
      </c>
      <c r="F59" s="55" t="s">
        <v>449</v>
      </c>
    </row>
    <row r="60" spans="2:6" s="46" customFormat="1" ht="104" customHeight="1" x14ac:dyDescent="0.2">
      <c r="B60" s="52">
        <v>41</v>
      </c>
      <c r="C60" s="53" t="s">
        <v>82</v>
      </c>
      <c r="D60" s="54" t="s">
        <v>430</v>
      </c>
      <c r="E60" s="54" t="s">
        <v>450</v>
      </c>
      <c r="F60" s="55" t="s">
        <v>451</v>
      </c>
    </row>
    <row r="61" spans="2:6" s="46" customFormat="1" ht="104" customHeight="1" x14ac:dyDescent="0.2">
      <c r="B61" s="52">
        <v>42</v>
      </c>
      <c r="C61" s="53" t="s">
        <v>83</v>
      </c>
      <c r="D61" s="54" t="s">
        <v>430</v>
      </c>
      <c r="E61" s="54" t="s">
        <v>452</v>
      </c>
      <c r="F61" s="55" t="s">
        <v>453</v>
      </c>
    </row>
    <row r="62" spans="2:6" s="46" customFormat="1" ht="104" customHeight="1" x14ac:dyDescent="0.2">
      <c r="B62" s="52">
        <v>43</v>
      </c>
      <c r="C62" s="53" t="s">
        <v>84</v>
      </c>
      <c r="D62" s="54" t="s">
        <v>430</v>
      </c>
      <c r="E62" s="54" t="s">
        <v>454</v>
      </c>
      <c r="F62" s="55" t="s">
        <v>455</v>
      </c>
    </row>
    <row r="63" spans="2:6" s="46" customFormat="1" ht="104" customHeight="1" x14ac:dyDescent="0.2">
      <c r="B63" s="52">
        <v>44</v>
      </c>
      <c r="C63" s="53" t="s">
        <v>85</v>
      </c>
      <c r="D63" s="54" t="s">
        <v>430</v>
      </c>
      <c r="E63" s="54" t="s">
        <v>382</v>
      </c>
      <c r="F63" s="55" t="s">
        <v>456</v>
      </c>
    </row>
    <row r="64" spans="2:6" s="46" customFormat="1" ht="104" customHeight="1" x14ac:dyDescent="0.2">
      <c r="B64" s="52">
        <v>45</v>
      </c>
      <c r="C64" s="53" t="s">
        <v>86</v>
      </c>
      <c r="D64" s="54" t="s">
        <v>430</v>
      </c>
      <c r="E64" s="54" t="s">
        <v>424</v>
      </c>
      <c r="F64" s="55" t="s">
        <v>457</v>
      </c>
    </row>
    <row r="65" spans="2:6" s="46" customFormat="1" ht="104" customHeight="1" x14ac:dyDescent="0.2">
      <c r="B65" s="52">
        <v>46</v>
      </c>
      <c r="C65" s="53" t="s">
        <v>87</v>
      </c>
      <c r="D65" s="54" t="s">
        <v>430</v>
      </c>
      <c r="E65" s="54" t="s">
        <v>424</v>
      </c>
      <c r="F65" s="55" t="s">
        <v>458</v>
      </c>
    </row>
    <row r="66" spans="2:6" s="46" customFormat="1" ht="104" customHeight="1" x14ac:dyDescent="0.2">
      <c r="B66" s="52">
        <v>47</v>
      </c>
      <c r="C66" s="53" t="s">
        <v>88</v>
      </c>
      <c r="D66" s="54" t="s">
        <v>430</v>
      </c>
      <c r="E66" s="54" t="s">
        <v>435</v>
      </c>
      <c r="F66" s="55" t="s">
        <v>459</v>
      </c>
    </row>
    <row r="67" spans="2:6" s="46" customFormat="1" ht="104" customHeight="1" x14ac:dyDescent="0.2">
      <c r="B67" s="52">
        <v>48</v>
      </c>
      <c r="C67" s="53" t="s">
        <v>89</v>
      </c>
      <c r="D67" s="54" t="s">
        <v>430</v>
      </c>
      <c r="E67" s="54" t="s">
        <v>435</v>
      </c>
      <c r="F67" s="55" t="s">
        <v>460</v>
      </c>
    </row>
    <row r="68" spans="2:6" s="46" customFormat="1" ht="104" customHeight="1" x14ac:dyDescent="0.2">
      <c r="B68" s="52">
        <v>49</v>
      </c>
      <c r="C68" s="53" t="s">
        <v>90</v>
      </c>
      <c r="D68" s="54" t="s">
        <v>430</v>
      </c>
      <c r="E68" s="54" t="s">
        <v>419</v>
      </c>
      <c r="F68" s="55" t="s">
        <v>461</v>
      </c>
    </row>
    <row r="69" spans="2:6" s="46" customFormat="1" ht="104" customHeight="1" x14ac:dyDescent="0.2">
      <c r="B69" s="52">
        <v>50</v>
      </c>
      <c r="C69" s="53" t="s">
        <v>91</v>
      </c>
      <c r="D69" s="54" t="s">
        <v>430</v>
      </c>
      <c r="E69" s="54" t="s">
        <v>422</v>
      </c>
      <c r="F69" s="55" t="s">
        <v>462</v>
      </c>
    </row>
    <row r="70" spans="2:6" s="46" customFormat="1" ht="104" customHeight="1" x14ac:dyDescent="0.2">
      <c r="B70" s="52">
        <v>51</v>
      </c>
      <c r="C70" s="53" t="s">
        <v>92</v>
      </c>
      <c r="D70" s="54" t="s">
        <v>430</v>
      </c>
      <c r="E70" s="54" t="s">
        <v>385</v>
      </c>
      <c r="F70" s="55" t="s">
        <v>463</v>
      </c>
    </row>
    <row r="71" spans="2:6" s="46" customFormat="1" ht="104" customHeight="1" x14ac:dyDescent="0.2">
      <c r="B71" s="52">
        <v>52</v>
      </c>
      <c r="C71" s="53" t="s">
        <v>94</v>
      </c>
      <c r="D71" s="54" t="s">
        <v>464</v>
      </c>
      <c r="E71" s="54" t="s">
        <v>465</v>
      </c>
      <c r="F71" s="55" t="s">
        <v>466</v>
      </c>
    </row>
    <row r="72" spans="2:6" s="46" customFormat="1" ht="104" customHeight="1" x14ac:dyDescent="0.2">
      <c r="B72" s="52">
        <v>53</v>
      </c>
      <c r="C72" s="53" t="s">
        <v>95</v>
      </c>
      <c r="D72" s="54" t="s">
        <v>464</v>
      </c>
      <c r="E72" s="54" t="s">
        <v>467</v>
      </c>
      <c r="F72" s="55" t="s">
        <v>468</v>
      </c>
    </row>
    <row r="73" spans="2:6" s="46" customFormat="1" ht="104" customHeight="1" x14ac:dyDescent="0.2">
      <c r="B73" s="52">
        <v>54</v>
      </c>
      <c r="C73" s="53" t="s">
        <v>96</v>
      </c>
      <c r="D73" s="54" t="s">
        <v>464</v>
      </c>
      <c r="E73" s="54" t="s">
        <v>469</v>
      </c>
      <c r="F73" s="55" t="s">
        <v>470</v>
      </c>
    </row>
    <row r="74" spans="2:6" s="46" customFormat="1" ht="104" customHeight="1" x14ac:dyDescent="0.2">
      <c r="B74" s="52">
        <v>55</v>
      </c>
      <c r="C74" s="53" t="s">
        <v>97</v>
      </c>
      <c r="D74" s="54" t="s">
        <v>464</v>
      </c>
      <c r="E74" s="54" t="s">
        <v>471</v>
      </c>
      <c r="F74" s="55" t="s">
        <v>472</v>
      </c>
    </row>
    <row r="75" spans="2:6" s="46" customFormat="1" ht="104" customHeight="1" x14ac:dyDescent="0.2">
      <c r="B75" s="52">
        <v>56</v>
      </c>
      <c r="C75" s="53" t="s">
        <v>98</v>
      </c>
      <c r="D75" s="54" t="s">
        <v>464</v>
      </c>
      <c r="E75" s="54" t="s">
        <v>415</v>
      </c>
      <c r="F75" s="55" t="s">
        <v>473</v>
      </c>
    </row>
    <row r="76" spans="2:6" s="46" customFormat="1" ht="104" customHeight="1" x14ac:dyDescent="0.2">
      <c r="B76" s="52">
        <v>57</v>
      </c>
      <c r="C76" s="53" t="s">
        <v>99</v>
      </c>
      <c r="D76" s="54" t="s">
        <v>464</v>
      </c>
      <c r="E76" s="54" t="s">
        <v>469</v>
      </c>
      <c r="F76" s="55" t="s">
        <v>474</v>
      </c>
    </row>
    <row r="77" spans="2:6" s="46" customFormat="1" ht="104" customHeight="1" x14ac:dyDescent="0.2">
      <c r="B77" s="52">
        <v>58</v>
      </c>
      <c r="C77" s="53" t="s">
        <v>100</v>
      </c>
      <c r="D77" s="54" t="s">
        <v>464</v>
      </c>
      <c r="E77" s="54" t="s">
        <v>382</v>
      </c>
      <c r="F77" s="55" t="s">
        <v>475</v>
      </c>
    </row>
    <row r="78" spans="2:6" s="46" customFormat="1" ht="104" customHeight="1" x14ac:dyDescent="0.2">
      <c r="B78" s="52">
        <v>59</v>
      </c>
      <c r="C78" s="53" t="s">
        <v>101</v>
      </c>
      <c r="D78" s="54" t="s">
        <v>464</v>
      </c>
      <c r="E78" s="54" t="s">
        <v>476</v>
      </c>
      <c r="F78" s="55" t="s">
        <v>477</v>
      </c>
    </row>
    <row r="79" spans="2:6" s="46" customFormat="1" ht="104" customHeight="1" x14ac:dyDescent="0.2">
      <c r="B79" s="52">
        <v>60</v>
      </c>
      <c r="C79" s="53" t="s">
        <v>102</v>
      </c>
      <c r="D79" s="54" t="s">
        <v>464</v>
      </c>
      <c r="E79" s="54" t="s">
        <v>478</v>
      </c>
      <c r="F79" s="55" t="s">
        <v>479</v>
      </c>
    </row>
    <row r="80" spans="2:6" s="46" customFormat="1" ht="104" customHeight="1" x14ac:dyDescent="0.2">
      <c r="B80" s="52">
        <v>61</v>
      </c>
      <c r="C80" s="53" t="s">
        <v>103</v>
      </c>
      <c r="D80" s="54" t="s">
        <v>464</v>
      </c>
      <c r="E80" s="54" t="s">
        <v>467</v>
      </c>
      <c r="F80" s="55" t="s">
        <v>480</v>
      </c>
    </row>
    <row r="81" spans="2:6" s="46" customFormat="1" ht="104" customHeight="1" x14ac:dyDescent="0.2">
      <c r="B81" s="52">
        <v>62</v>
      </c>
      <c r="C81" s="53" t="s">
        <v>104</v>
      </c>
      <c r="D81" s="54" t="s">
        <v>464</v>
      </c>
      <c r="E81" s="54" t="s">
        <v>229</v>
      </c>
      <c r="F81" s="55" t="s">
        <v>481</v>
      </c>
    </row>
    <row r="82" spans="2:6" s="46" customFormat="1" ht="104" customHeight="1" x14ac:dyDescent="0.2">
      <c r="B82" s="52">
        <v>63</v>
      </c>
      <c r="C82" s="53" t="s">
        <v>105</v>
      </c>
      <c r="D82" s="54" t="s">
        <v>464</v>
      </c>
      <c r="E82" s="54" t="s">
        <v>482</v>
      </c>
      <c r="F82" s="55" t="s">
        <v>483</v>
      </c>
    </row>
    <row r="83" spans="2:6" s="46" customFormat="1" ht="104" customHeight="1" x14ac:dyDescent="0.2">
      <c r="B83" s="52">
        <v>64</v>
      </c>
      <c r="C83" s="53" t="s">
        <v>106</v>
      </c>
      <c r="D83" s="54" t="s">
        <v>464</v>
      </c>
      <c r="E83" s="54" t="s">
        <v>382</v>
      </c>
      <c r="F83" s="55" t="s">
        <v>484</v>
      </c>
    </row>
    <row r="84" spans="2:6" s="46" customFormat="1" ht="104" customHeight="1" x14ac:dyDescent="0.2">
      <c r="B84" s="52">
        <v>65</v>
      </c>
      <c r="C84" s="53" t="s">
        <v>107</v>
      </c>
      <c r="D84" s="54" t="s">
        <v>464</v>
      </c>
      <c r="E84" s="54" t="s">
        <v>485</v>
      </c>
      <c r="F84" s="55" t="s">
        <v>486</v>
      </c>
    </row>
    <row r="85" spans="2:6" s="46" customFormat="1" ht="104" customHeight="1" x14ac:dyDescent="0.2">
      <c r="B85" s="52">
        <v>66</v>
      </c>
      <c r="C85" s="53" t="s">
        <v>108</v>
      </c>
      <c r="D85" s="54" t="s">
        <v>464</v>
      </c>
      <c r="E85" s="54" t="s">
        <v>487</v>
      </c>
      <c r="F85" s="55" t="s">
        <v>488</v>
      </c>
    </row>
    <row r="86" spans="2:6" s="46" customFormat="1" ht="104" customHeight="1" x14ac:dyDescent="0.2">
      <c r="B86" s="52">
        <v>67</v>
      </c>
      <c r="C86" s="53" t="s">
        <v>109</v>
      </c>
      <c r="D86" s="54" t="s">
        <v>464</v>
      </c>
      <c r="E86" s="54" t="s">
        <v>388</v>
      </c>
      <c r="F86" s="55" t="s">
        <v>489</v>
      </c>
    </row>
    <row r="87" spans="2:6" s="46" customFormat="1" ht="104" customHeight="1" x14ac:dyDescent="0.2">
      <c r="B87" s="52">
        <v>68</v>
      </c>
      <c r="C87" s="53" t="s">
        <v>110</v>
      </c>
      <c r="D87" s="54" t="s">
        <v>464</v>
      </c>
      <c r="E87" s="54" t="s">
        <v>388</v>
      </c>
      <c r="F87" s="55" t="s">
        <v>490</v>
      </c>
    </row>
    <row r="88" spans="2:6" s="46" customFormat="1" ht="104" customHeight="1" x14ac:dyDescent="0.2">
      <c r="B88" s="52">
        <v>69</v>
      </c>
      <c r="C88" s="53" t="s">
        <v>111</v>
      </c>
      <c r="D88" s="54" t="s">
        <v>464</v>
      </c>
      <c r="E88" s="54" t="s">
        <v>424</v>
      </c>
      <c r="F88" s="55" t="s">
        <v>491</v>
      </c>
    </row>
    <row r="89" spans="2:6" s="46" customFormat="1" ht="104" customHeight="1" x14ac:dyDescent="0.2">
      <c r="B89" s="52">
        <v>70</v>
      </c>
      <c r="C89" s="53" t="s">
        <v>112</v>
      </c>
      <c r="D89" s="54" t="s">
        <v>464</v>
      </c>
      <c r="E89" s="54" t="s">
        <v>492</v>
      </c>
      <c r="F89" s="55" t="s">
        <v>493</v>
      </c>
    </row>
    <row r="90" spans="2:6" s="46" customFormat="1" ht="104" customHeight="1" x14ac:dyDescent="0.2">
      <c r="B90" s="52">
        <v>71</v>
      </c>
      <c r="C90" s="53" t="s">
        <v>113</v>
      </c>
      <c r="D90" s="54" t="s">
        <v>464</v>
      </c>
      <c r="E90" s="54" t="s">
        <v>428</v>
      </c>
      <c r="F90" s="55" t="s">
        <v>494</v>
      </c>
    </row>
    <row r="91" spans="2:6" s="46" customFormat="1" ht="104" customHeight="1" x14ac:dyDescent="0.2">
      <c r="B91" s="52">
        <v>72</v>
      </c>
      <c r="C91" s="53" t="s">
        <v>114</v>
      </c>
      <c r="D91" s="54" t="s">
        <v>464</v>
      </c>
      <c r="E91" s="54" t="s">
        <v>495</v>
      </c>
      <c r="F91" s="55" t="s">
        <v>496</v>
      </c>
    </row>
    <row r="92" spans="2:6" s="46" customFormat="1" ht="104" customHeight="1" x14ac:dyDescent="0.2">
      <c r="B92" s="52">
        <v>73</v>
      </c>
      <c r="C92" s="53" t="s">
        <v>115</v>
      </c>
      <c r="D92" s="54" t="s">
        <v>464</v>
      </c>
      <c r="E92" s="54" t="s">
        <v>482</v>
      </c>
      <c r="F92" s="55" t="s">
        <v>497</v>
      </c>
    </row>
    <row r="93" spans="2:6" s="46" customFormat="1" ht="104" customHeight="1" x14ac:dyDescent="0.2">
      <c r="B93" s="52">
        <v>74</v>
      </c>
      <c r="C93" s="53" t="s">
        <v>116</v>
      </c>
      <c r="D93" s="54" t="s">
        <v>464</v>
      </c>
      <c r="E93" s="54" t="s">
        <v>467</v>
      </c>
      <c r="F93" s="55" t="s">
        <v>498</v>
      </c>
    </row>
    <row r="94" spans="2:6" s="46" customFormat="1" ht="104" customHeight="1" x14ac:dyDescent="0.2">
      <c r="B94" s="52">
        <v>75</v>
      </c>
      <c r="C94" s="53" t="s">
        <v>117</v>
      </c>
      <c r="D94" s="54" t="s">
        <v>464</v>
      </c>
      <c r="E94" s="54" t="s">
        <v>385</v>
      </c>
      <c r="F94" s="55" t="s">
        <v>499</v>
      </c>
    </row>
    <row r="95" spans="2:6" s="46" customFormat="1" ht="104" customHeight="1" x14ac:dyDescent="0.2">
      <c r="B95" s="52">
        <v>76</v>
      </c>
      <c r="C95" s="53" t="s">
        <v>118</v>
      </c>
      <c r="D95" s="54" t="s">
        <v>464</v>
      </c>
      <c r="E95" s="54" t="s">
        <v>385</v>
      </c>
      <c r="F95" s="55" t="s">
        <v>500</v>
      </c>
    </row>
    <row r="96" spans="2:6" s="46" customFormat="1" ht="104" customHeight="1" x14ac:dyDescent="0.2">
      <c r="B96" s="52">
        <v>77</v>
      </c>
      <c r="C96" s="53" t="s">
        <v>119</v>
      </c>
      <c r="D96" s="54" t="s">
        <v>464</v>
      </c>
      <c r="E96" s="54" t="s">
        <v>388</v>
      </c>
      <c r="F96" s="55" t="s">
        <v>501</v>
      </c>
    </row>
    <row r="97" spans="2:6" s="46" customFormat="1" ht="104" customHeight="1" x14ac:dyDescent="0.2">
      <c r="B97" s="52">
        <v>78</v>
      </c>
      <c r="C97" s="53" t="s">
        <v>120</v>
      </c>
      <c r="D97" s="54" t="s">
        <v>464</v>
      </c>
      <c r="E97" s="54" t="s">
        <v>388</v>
      </c>
      <c r="F97" s="55" t="s">
        <v>502</v>
      </c>
    </row>
    <row r="98" spans="2:6" s="46" customFormat="1" ht="104" customHeight="1" x14ac:dyDescent="0.2">
      <c r="B98" s="52">
        <v>79</v>
      </c>
      <c r="C98" s="53" t="s">
        <v>121</v>
      </c>
      <c r="D98" s="54" t="s">
        <v>464</v>
      </c>
      <c r="E98" s="54" t="s">
        <v>382</v>
      </c>
      <c r="F98" s="55" t="s">
        <v>503</v>
      </c>
    </row>
    <row r="99" spans="2:6" s="46" customFormat="1" ht="104" customHeight="1" x14ac:dyDescent="0.2">
      <c r="B99" s="52">
        <v>80</v>
      </c>
      <c r="C99" s="53" t="s">
        <v>123</v>
      </c>
      <c r="D99" s="54" t="s">
        <v>504</v>
      </c>
      <c r="E99" s="54" t="s">
        <v>445</v>
      </c>
      <c r="F99" s="55" t="s">
        <v>505</v>
      </c>
    </row>
    <row r="100" spans="2:6" s="46" customFormat="1" ht="104" customHeight="1" x14ac:dyDescent="0.2">
      <c r="B100" s="52">
        <v>81</v>
      </c>
      <c r="C100" s="53" t="s">
        <v>124</v>
      </c>
      <c r="D100" s="54" t="s">
        <v>504</v>
      </c>
      <c r="E100" s="54" t="s">
        <v>428</v>
      </c>
      <c r="F100" s="55" t="s">
        <v>506</v>
      </c>
    </row>
    <row r="101" spans="2:6" s="46" customFormat="1" ht="104" customHeight="1" x14ac:dyDescent="0.2">
      <c r="B101" s="52">
        <v>82</v>
      </c>
      <c r="C101" s="53" t="s">
        <v>125</v>
      </c>
      <c r="D101" s="54" t="s">
        <v>504</v>
      </c>
      <c r="E101" s="54" t="s">
        <v>507</v>
      </c>
      <c r="F101" s="55" t="s">
        <v>508</v>
      </c>
    </row>
    <row r="102" spans="2:6" s="46" customFormat="1" ht="104" customHeight="1" x14ac:dyDescent="0.2">
      <c r="B102" s="52">
        <v>83</v>
      </c>
      <c r="C102" s="53" t="s">
        <v>126</v>
      </c>
      <c r="D102" s="54" t="s">
        <v>504</v>
      </c>
      <c r="E102" s="54" t="s">
        <v>507</v>
      </c>
      <c r="F102" s="55" t="s">
        <v>509</v>
      </c>
    </row>
    <row r="103" spans="2:6" s="46" customFormat="1" ht="104" customHeight="1" x14ac:dyDescent="0.2">
      <c r="B103" s="52">
        <v>84</v>
      </c>
      <c r="C103" s="53" t="s">
        <v>127</v>
      </c>
      <c r="D103" s="54" t="s">
        <v>504</v>
      </c>
      <c r="E103" s="54" t="s">
        <v>450</v>
      </c>
      <c r="F103" s="55" t="s">
        <v>510</v>
      </c>
    </row>
    <row r="104" spans="2:6" s="46" customFormat="1" ht="104" customHeight="1" x14ac:dyDescent="0.2">
      <c r="B104" s="52">
        <v>85</v>
      </c>
      <c r="C104" s="53" t="s">
        <v>128</v>
      </c>
      <c r="D104" s="54" t="s">
        <v>504</v>
      </c>
      <c r="E104" s="54" t="s">
        <v>441</v>
      </c>
      <c r="F104" s="55" t="s">
        <v>511</v>
      </c>
    </row>
    <row r="105" spans="2:6" s="46" customFormat="1" ht="104" customHeight="1" x14ac:dyDescent="0.2">
      <c r="B105" s="52">
        <v>86</v>
      </c>
      <c r="C105" s="53" t="s">
        <v>129</v>
      </c>
      <c r="D105" s="54" t="s">
        <v>504</v>
      </c>
      <c r="E105" s="54" t="s">
        <v>507</v>
      </c>
      <c r="F105" s="55" t="s">
        <v>512</v>
      </c>
    </row>
    <row r="106" spans="2:6" s="46" customFormat="1" ht="104" customHeight="1" x14ac:dyDescent="0.2">
      <c r="B106" s="52">
        <v>87</v>
      </c>
      <c r="C106" s="53" t="s">
        <v>130</v>
      </c>
      <c r="D106" s="54" t="s">
        <v>504</v>
      </c>
      <c r="E106" s="54" t="s">
        <v>441</v>
      </c>
      <c r="F106" s="55" t="s">
        <v>513</v>
      </c>
    </row>
    <row r="107" spans="2:6" s="46" customFormat="1" ht="104" customHeight="1" x14ac:dyDescent="0.2">
      <c r="B107" s="52">
        <v>88</v>
      </c>
      <c r="C107" s="53" t="s">
        <v>131</v>
      </c>
      <c r="D107" s="54" t="s">
        <v>504</v>
      </c>
      <c r="E107" s="54" t="s">
        <v>450</v>
      </c>
      <c r="F107" s="55" t="s">
        <v>514</v>
      </c>
    </row>
    <row r="108" spans="2:6" s="46" customFormat="1" ht="104" customHeight="1" x14ac:dyDescent="0.2">
      <c r="B108" s="52">
        <v>89</v>
      </c>
      <c r="C108" s="53" t="s">
        <v>132</v>
      </c>
      <c r="D108" s="54" t="s">
        <v>504</v>
      </c>
      <c r="E108" s="54" t="s">
        <v>424</v>
      </c>
      <c r="F108" s="55" t="s">
        <v>515</v>
      </c>
    </row>
    <row r="109" spans="2:6" s="46" customFormat="1" ht="104" customHeight="1" x14ac:dyDescent="0.2">
      <c r="B109" s="52">
        <v>90</v>
      </c>
      <c r="C109" s="53" t="s">
        <v>133</v>
      </c>
      <c r="D109" s="54" t="s">
        <v>504</v>
      </c>
      <c r="E109" s="54" t="s">
        <v>507</v>
      </c>
      <c r="F109" s="55" t="s">
        <v>516</v>
      </c>
    </row>
    <row r="110" spans="2:6" s="46" customFormat="1" ht="104" customHeight="1" x14ac:dyDescent="0.2">
      <c r="B110" s="52">
        <v>91</v>
      </c>
      <c r="C110" s="53" t="s">
        <v>134</v>
      </c>
      <c r="D110" s="54" t="s">
        <v>504</v>
      </c>
      <c r="E110" s="54" t="s">
        <v>478</v>
      </c>
      <c r="F110" s="55" t="s">
        <v>517</v>
      </c>
    </row>
    <row r="111" spans="2:6" s="46" customFormat="1" ht="104" customHeight="1" x14ac:dyDescent="0.2">
      <c r="B111" s="52">
        <v>92</v>
      </c>
      <c r="C111" s="53" t="s">
        <v>135</v>
      </c>
      <c r="D111" s="54" t="s">
        <v>504</v>
      </c>
      <c r="E111" s="54" t="s">
        <v>518</v>
      </c>
      <c r="F111" s="55" t="s">
        <v>519</v>
      </c>
    </row>
    <row r="112" spans="2:6" s="46" customFormat="1" ht="104" customHeight="1" x14ac:dyDescent="0.2">
      <c r="B112" s="52">
        <v>93</v>
      </c>
      <c r="C112" s="53" t="s">
        <v>136</v>
      </c>
      <c r="D112" s="54" t="s">
        <v>504</v>
      </c>
      <c r="E112" s="54" t="s">
        <v>448</v>
      </c>
      <c r="F112" s="55" t="s">
        <v>520</v>
      </c>
    </row>
    <row r="113" spans="2:6" s="46" customFormat="1" ht="104" customHeight="1" x14ac:dyDescent="0.2">
      <c r="B113" s="52">
        <v>94</v>
      </c>
      <c r="C113" s="53" t="s">
        <v>137</v>
      </c>
      <c r="D113" s="54" t="s">
        <v>504</v>
      </c>
      <c r="E113" s="54" t="s">
        <v>507</v>
      </c>
      <c r="F113" s="55" t="s">
        <v>521</v>
      </c>
    </row>
    <row r="114" spans="2:6" s="46" customFormat="1" ht="104" customHeight="1" x14ac:dyDescent="0.2">
      <c r="B114" s="52">
        <v>95</v>
      </c>
      <c r="C114" s="53" t="s">
        <v>138</v>
      </c>
      <c r="D114" s="54" t="s">
        <v>504</v>
      </c>
      <c r="E114" s="54" t="s">
        <v>518</v>
      </c>
      <c r="F114" s="55" t="s">
        <v>522</v>
      </c>
    </row>
    <row r="115" spans="2:6" s="46" customFormat="1" ht="104" customHeight="1" x14ac:dyDescent="0.2">
      <c r="B115" s="52">
        <v>96</v>
      </c>
      <c r="C115" s="53" t="s">
        <v>139</v>
      </c>
      <c r="D115" s="54" t="s">
        <v>504</v>
      </c>
      <c r="E115" s="54" t="s">
        <v>441</v>
      </c>
      <c r="F115" s="55" t="s">
        <v>523</v>
      </c>
    </row>
    <row r="116" spans="2:6" s="46" customFormat="1" ht="104" customHeight="1" x14ac:dyDescent="0.2">
      <c r="B116" s="52">
        <v>97</v>
      </c>
      <c r="C116" s="53" t="s">
        <v>140</v>
      </c>
      <c r="D116" s="54" t="s">
        <v>504</v>
      </c>
      <c r="E116" s="54" t="s">
        <v>390</v>
      </c>
      <c r="F116" s="55" t="s">
        <v>524</v>
      </c>
    </row>
    <row r="117" spans="2:6" s="46" customFormat="1" ht="104" customHeight="1" x14ac:dyDescent="0.2">
      <c r="B117" s="52">
        <v>98</v>
      </c>
      <c r="C117" s="53" t="s">
        <v>142</v>
      </c>
      <c r="D117" s="54" t="s">
        <v>525</v>
      </c>
      <c r="E117" s="54" t="s">
        <v>526</v>
      </c>
      <c r="F117" s="55" t="s">
        <v>527</v>
      </c>
    </row>
    <row r="118" spans="2:6" s="46" customFormat="1" ht="104" customHeight="1" x14ac:dyDescent="0.2">
      <c r="B118" s="52">
        <v>99</v>
      </c>
      <c r="C118" s="53" t="s">
        <v>143</v>
      </c>
      <c r="D118" s="54" t="s">
        <v>525</v>
      </c>
      <c r="E118" s="54" t="s">
        <v>528</v>
      </c>
      <c r="F118" s="55" t="s">
        <v>529</v>
      </c>
    </row>
    <row r="119" spans="2:6" s="46" customFormat="1" ht="104" customHeight="1" x14ac:dyDescent="0.2">
      <c r="B119" s="52">
        <v>100</v>
      </c>
      <c r="C119" s="53" t="s">
        <v>144</v>
      </c>
      <c r="D119" s="54" t="s">
        <v>525</v>
      </c>
      <c r="E119" s="54" t="s">
        <v>441</v>
      </c>
      <c r="F119" s="55" t="s">
        <v>530</v>
      </c>
    </row>
    <row r="120" spans="2:6" s="46" customFormat="1" ht="104" customHeight="1" x14ac:dyDescent="0.2">
      <c r="B120" s="52">
        <v>101</v>
      </c>
      <c r="C120" s="53" t="s">
        <v>145</v>
      </c>
      <c r="D120" s="54" t="s">
        <v>525</v>
      </c>
      <c r="E120" s="54" t="s">
        <v>422</v>
      </c>
      <c r="F120" s="55" t="s">
        <v>531</v>
      </c>
    </row>
    <row r="121" spans="2:6" s="46" customFormat="1" ht="104" customHeight="1" x14ac:dyDescent="0.2">
      <c r="B121" s="52">
        <v>102</v>
      </c>
      <c r="C121" s="53" t="s">
        <v>146</v>
      </c>
      <c r="D121" s="54" t="s">
        <v>525</v>
      </c>
      <c r="E121" s="54" t="s">
        <v>507</v>
      </c>
      <c r="F121" s="55" t="s">
        <v>532</v>
      </c>
    </row>
    <row r="122" spans="2:6" s="46" customFormat="1" ht="104" customHeight="1" x14ac:dyDescent="0.2">
      <c r="B122" s="52">
        <v>103</v>
      </c>
      <c r="C122" s="53" t="s">
        <v>147</v>
      </c>
      <c r="D122" s="54" t="s">
        <v>525</v>
      </c>
      <c r="E122" s="54" t="s">
        <v>507</v>
      </c>
      <c r="F122" s="55" t="s">
        <v>533</v>
      </c>
    </row>
    <row r="123" spans="2:6" s="46" customFormat="1" ht="104" customHeight="1" x14ac:dyDescent="0.2">
      <c r="B123" s="52">
        <v>104</v>
      </c>
      <c r="C123" s="53" t="s">
        <v>148</v>
      </c>
      <c r="D123" s="54" t="s">
        <v>525</v>
      </c>
      <c r="E123" s="54" t="s">
        <v>422</v>
      </c>
      <c r="F123" s="55" t="s">
        <v>534</v>
      </c>
    </row>
    <row r="124" spans="2:6" s="46" customFormat="1" ht="104" customHeight="1" x14ac:dyDescent="0.2">
      <c r="B124" s="52">
        <v>105</v>
      </c>
      <c r="C124" s="53" t="s">
        <v>149</v>
      </c>
      <c r="D124" s="54" t="s">
        <v>525</v>
      </c>
      <c r="E124" s="54" t="s">
        <v>422</v>
      </c>
      <c r="F124" s="55" t="s">
        <v>535</v>
      </c>
    </row>
    <row r="125" spans="2:6" s="46" customFormat="1" ht="104" customHeight="1" x14ac:dyDescent="0.2">
      <c r="B125" s="52">
        <v>106</v>
      </c>
      <c r="C125" s="53" t="s">
        <v>150</v>
      </c>
      <c r="D125" s="54" t="s">
        <v>525</v>
      </c>
      <c r="E125" s="54" t="s">
        <v>536</v>
      </c>
      <c r="F125" s="55" t="s">
        <v>537</v>
      </c>
    </row>
    <row r="126" spans="2:6" s="46" customFormat="1" ht="104" customHeight="1" x14ac:dyDescent="0.2">
      <c r="B126" s="52">
        <v>107</v>
      </c>
      <c r="C126" s="53" t="s">
        <v>151</v>
      </c>
      <c r="D126" s="54" t="s">
        <v>525</v>
      </c>
      <c r="E126" s="54" t="s">
        <v>507</v>
      </c>
      <c r="F126" s="55" t="s">
        <v>538</v>
      </c>
    </row>
    <row r="127" spans="2:6" s="46" customFormat="1" ht="104" customHeight="1" x14ac:dyDescent="0.2">
      <c r="B127" s="52">
        <v>108</v>
      </c>
      <c r="C127" s="53" t="s">
        <v>152</v>
      </c>
      <c r="D127" s="54" t="s">
        <v>525</v>
      </c>
      <c r="E127" s="54" t="s">
        <v>229</v>
      </c>
      <c r="F127" s="55" t="s">
        <v>539</v>
      </c>
    </row>
    <row r="128" spans="2:6" s="46" customFormat="1" ht="104" customHeight="1" x14ac:dyDescent="0.2">
      <c r="B128" s="52">
        <v>109</v>
      </c>
      <c r="C128" s="53" t="s">
        <v>153</v>
      </c>
      <c r="D128" s="54" t="s">
        <v>525</v>
      </c>
      <c r="E128" s="54" t="s">
        <v>229</v>
      </c>
      <c r="F128" s="55" t="s">
        <v>540</v>
      </c>
    </row>
    <row r="129" spans="2:6" s="46" customFormat="1" ht="104" customHeight="1" x14ac:dyDescent="0.2">
      <c r="B129" s="52">
        <v>110</v>
      </c>
      <c r="C129" s="53" t="s">
        <v>154</v>
      </c>
      <c r="D129" s="54" t="s">
        <v>525</v>
      </c>
      <c r="E129" s="54" t="s">
        <v>428</v>
      </c>
      <c r="F129" s="55" t="s">
        <v>541</v>
      </c>
    </row>
    <row r="130" spans="2:6" s="46" customFormat="1" ht="104" customHeight="1" x14ac:dyDescent="0.2">
      <c r="B130" s="52">
        <v>111</v>
      </c>
      <c r="C130" s="53" t="s">
        <v>155</v>
      </c>
      <c r="D130" s="54" t="s">
        <v>525</v>
      </c>
      <c r="E130" s="54" t="s">
        <v>422</v>
      </c>
      <c r="F130" s="55" t="s">
        <v>542</v>
      </c>
    </row>
    <row r="131" spans="2:6" s="46" customFormat="1" ht="104" customHeight="1" x14ac:dyDescent="0.2">
      <c r="B131" s="52">
        <v>112</v>
      </c>
      <c r="C131" s="53" t="s">
        <v>156</v>
      </c>
      <c r="D131" s="54" t="s">
        <v>525</v>
      </c>
      <c r="E131" s="54" t="s">
        <v>543</v>
      </c>
      <c r="F131" s="55" t="s">
        <v>544</v>
      </c>
    </row>
    <row r="132" spans="2:6" s="46" customFormat="1" ht="104" customHeight="1" x14ac:dyDescent="0.2">
      <c r="B132" s="52">
        <v>113</v>
      </c>
      <c r="C132" s="53" t="s">
        <v>157</v>
      </c>
      <c r="D132" s="54" t="s">
        <v>525</v>
      </c>
      <c r="E132" s="54" t="s">
        <v>450</v>
      </c>
      <c r="F132" s="55" t="s">
        <v>545</v>
      </c>
    </row>
    <row r="133" spans="2:6" s="46" customFormat="1" ht="104" customHeight="1" x14ac:dyDescent="0.2">
      <c r="B133" s="52">
        <v>114</v>
      </c>
      <c r="C133" s="53" t="s">
        <v>158</v>
      </c>
      <c r="D133" s="54" t="s">
        <v>525</v>
      </c>
      <c r="E133" s="54" t="s">
        <v>495</v>
      </c>
      <c r="F133" s="55" t="s">
        <v>546</v>
      </c>
    </row>
    <row r="134" spans="2:6" s="46" customFormat="1" ht="104" customHeight="1" x14ac:dyDescent="0.2">
      <c r="B134" s="52">
        <v>115</v>
      </c>
      <c r="C134" s="53" t="s">
        <v>159</v>
      </c>
      <c r="D134" s="54" t="s">
        <v>525</v>
      </c>
      <c r="E134" s="54" t="s">
        <v>428</v>
      </c>
      <c r="F134" s="55" t="s">
        <v>547</v>
      </c>
    </row>
    <row r="135" spans="2:6" s="46" customFormat="1" ht="104" customHeight="1" x14ac:dyDescent="0.2">
      <c r="B135" s="52">
        <v>116</v>
      </c>
      <c r="C135" s="53" t="s">
        <v>160</v>
      </c>
      <c r="D135" s="54" t="s">
        <v>525</v>
      </c>
      <c r="E135" s="54" t="s">
        <v>548</v>
      </c>
      <c r="F135" s="55" t="s">
        <v>549</v>
      </c>
    </row>
    <row r="136" spans="2:6" s="46" customFormat="1" ht="104" customHeight="1" x14ac:dyDescent="0.2">
      <c r="B136" s="52">
        <v>117</v>
      </c>
      <c r="C136" s="53" t="s">
        <v>161</v>
      </c>
      <c r="D136" s="54" t="s">
        <v>525</v>
      </c>
      <c r="E136" s="54" t="s">
        <v>229</v>
      </c>
      <c r="F136" s="55" t="s">
        <v>550</v>
      </c>
    </row>
    <row r="137" spans="2:6" s="46" customFormat="1" ht="104" customHeight="1" x14ac:dyDescent="0.2">
      <c r="B137" s="52">
        <v>118</v>
      </c>
      <c r="C137" s="53" t="s">
        <v>162</v>
      </c>
      <c r="D137" s="54" t="s">
        <v>525</v>
      </c>
      <c r="E137" s="54" t="s">
        <v>507</v>
      </c>
      <c r="F137" s="55" t="s">
        <v>551</v>
      </c>
    </row>
    <row r="138" spans="2:6" s="46" customFormat="1" ht="104" customHeight="1" x14ac:dyDescent="0.2">
      <c r="B138" s="52">
        <v>119</v>
      </c>
      <c r="C138" s="53" t="s">
        <v>163</v>
      </c>
      <c r="D138" s="54" t="s">
        <v>525</v>
      </c>
      <c r="E138" s="54" t="s">
        <v>450</v>
      </c>
      <c r="F138" s="55" t="s">
        <v>552</v>
      </c>
    </row>
    <row r="139" spans="2:6" s="46" customFormat="1" ht="104" customHeight="1" x14ac:dyDescent="0.2">
      <c r="B139" s="52">
        <v>120</v>
      </c>
      <c r="C139" s="53" t="s">
        <v>164</v>
      </c>
      <c r="D139" s="54" t="s">
        <v>525</v>
      </c>
      <c r="E139" s="54" t="s">
        <v>441</v>
      </c>
      <c r="F139" s="55" t="s">
        <v>553</v>
      </c>
    </row>
    <row r="140" spans="2:6" s="46" customFormat="1" ht="104" customHeight="1" x14ac:dyDescent="0.2">
      <c r="B140" s="52">
        <v>121</v>
      </c>
      <c r="C140" s="53" t="s">
        <v>165</v>
      </c>
      <c r="D140" s="54" t="s">
        <v>525</v>
      </c>
      <c r="E140" s="54" t="s">
        <v>478</v>
      </c>
      <c r="F140" s="55" t="s">
        <v>554</v>
      </c>
    </row>
    <row r="141" spans="2:6" s="46" customFormat="1" ht="104" customHeight="1" x14ac:dyDescent="0.2">
      <c r="B141" s="52">
        <v>122</v>
      </c>
      <c r="C141" s="53" t="s">
        <v>166</v>
      </c>
      <c r="D141" s="54" t="s">
        <v>525</v>
      </c>
      <c r="E141" s="54" t="s">
        <v>507</v>
      </c>
      <c r="F141" s="55" t="s">
        <v>555</v>
      </c>
    </row>
    <row r="142" spans="2:6" s="46" customFormat="1" ht="104" customHeight="1" x14ac:dyDescent="0.2">
      <c r="B142" s="52">
        <v>123</v>
      </c>
      <c r="C142" s="53" t="s">
        <v>167</v>
      </c>
      <c r="D142" s="54" t="s">
        <v>525</v>
      </c>
      <c r="E142" s="54" t="s">
        <v>390</v>
      </c>
      <c r="F142" s="55" t="s">
        <v>556</v>
      </c>
    </row>
    <row r="143" spans="2:6" s="46" customFormat="1" ht="104" customHeight="1" x14ac:dyDescent="0.2">
      <c r="B143" s="52">
        <v>124</v>
      </c>
      <c r="C143" s="53" t="s">
        <v>168</v>
      </c>
      <c r="D143" s="54" t="s">
        <v>525</v>
      </c>
      <c r="E143" s="54" t="s">
        <v>492</v>
      </c>
      <c r="F143" s="55" t="s">
        <v>557</v>
      </c>
    </row>
    <row r="144" spans="2:6" s="46" customFormat="1" ht="104" customHeight="1" x14ac:dyDescent="0.2">
      <c r="B144" s="52">
        <v>125</v>
      </c>
      <c r="C144" s="53" t="s">
        <v>169</v>
      </c>
      <c r="D144" s="54" t="s">
        <v>525</v>
      </c>
      <c r="E144" s="54" t="s">
        <v>471</v>
      </c>
      <c r="F144" s="55" t="s">
        <v>558</v>
      </c>
    </row>
    <row r="145" spans="2:6" s="46" customFormat="1" ht="104" customHeight="1" thickBot="1" x14ac:dyDescent="0.25">
      <c r="B145" s="72">
        <v>126</v>
      </c>
      <c r="C145" s="83" t="s">
        <v>170</v>
      </c>
      <c r="D145" s="56" t="s">
        <v>525</v>
      </c>
      <c r="E145" s="56" t="s">
        <v>448</v>
      </c>
      <c r="F145" s="57" t="s">
        <v>559</v>
      </c>
    </row>
    <row r="146" spans="2:6" ht="14" customHeight="1" x14ac:dyDescent="0.15"/>
    <row r="147" spans="2:6" ht="14" customHeight="1" x14ac:dyDescent="0.15"/>
    <row r="148" spans="2:6" ht="14" customHeight="1" x14ac:dyDescent="0.15"/>
  </sheetData>
  <autoFilter ref="B19:F145" xr:uid="{CD2A1E4E-D9C3-498B-8E17-9B9E3176CC63}"/>
  <mergeCells count="16">
    <mergeCell ref="D15:E15"/>
    <mergeCell ref="D16:E16"/>
    <mergeCell ref="D17:E17"/>
    <mergeCell ref="D2:E2"/>
    <mergeCell ref="D9:E9"/>
    <mergeCell ref="D10:E10"/>
    <mergeCell ref="D11:E11"/>
    <mergeCell ref="D12:E12"/>
    <mergeCell ref="D13:E13"/>
    <mergeCell ref="D14:E14"/>
    <mergeCell ref="D3:E3"/>
    <mergeCell ref="D4:E4"/>
    <mergeCell ref="D5:E5"/>
    <mergeCell ref="D6:E6"/>
    <mergeCell ref="D7:E7"/>
    <mergeCell ref="D8:E8"/>
  </mergeCells>
  <hyperlinks>
    <hyperlink ref="F2" location="Index!A1" display="Click For Index" xr:uid="{BCE48BCD-9247-4119-BD69-F16435025B9E}"/>
  </hyperlinks>
  <pageMargins left="0.7" right="0.7" top="0.75" bottom="0.75" header="0.3" footer="0.3"/>
</worksheet>
</file>

<file path=docMetadata/LabelInfo.xml><?xml version="1.0" encoding="utf-8"?>
<clbl:labelList xmlns:clbl="http://schemas.microsoft.com/office/2020/mipLabelMetadata">
  <clbl:label id="{deff24bb-2089-4400-8c8e-f71e680378b2}" enabled="0" method="" siteId="{deff24bb-2089-4400-8c8e-f71e680378b2}"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vt:lpstr>
      <vt:lpstr>Notes</vt:lpstr>
      <vt:lpstr>Index</vt:lpstr>
      <vt:lpstr>Scope</vt:lpstr>
      <vt:lpstr>Checklist</vt:lpstr>
      <vt:lpstr>Sheet2</vt:lpstr>
      <vt:lpstr>Sheet1</vt:lpstr>
      <vt:lpstr>Definitions</vt:lpstr>
      <vt:lpstr>References</vt:lpstr>
    </vt:vector>
  </TitlesOfParts>
  <Manager/>
  <Company>KPMG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Saini, Piyush</dc:creator>
  <cp:keywords/>
  <dc:description/>
  <cp:lastModifiedBy>Sougata Bagchi</cp:lastModifiedBy>
  <cp:revision/>
  <dcterms:created xsi:type="dcterms:W3CDTF">2025-06-04T05:56:07Z</dcterms:created>
  <dcterms:modified xsi:type="dcterms:W3CDTF">2026-04-09T10:13:31Z</dcterms:modified>
  <cp:category/>
  <cp:contentStatus/>
</cp:coreProperties>
</file>